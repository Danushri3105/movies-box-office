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Pivot Tables" sheetId="2" state="visible" r:id="rId4"/>
    <sheet name="Cleaned Data" sheetId="3" state="visible" r:id="rId5"/>
    <sheet name="Raw Data" sheetId="4" state="visible" r:id="rId6"/>
    <sheet name="Read Me"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<sst xmlns="http://schemas.openxmlformats.org/spreadsheetml/2006/main" count="3363" uniqueCount="848">
  <si>
    <t xml:space="preserve">MOVIE BOX OFFICE ANALYTICS DASHBOARD</t>
  </si>
  <si>
    <t xml:space="preserve">222 titles  |  2000 - 2024  |  Source: Cleaned Data table  |  Use the filter buttons on the Cleaned Data sheet (Genre / Release Year / Language) to slice the underlying dataset</t>
  </si>
  <si>
    <t xml:space="preserve">TOTAL MOVIES</t>
  </si>
  <si>
    <t xml:space="preserve">TOTAL REVENUE</t>
  </si>
  <si>
    <t xml:space="preserve">AVG IMDB RATING</t>
  </si>
  <si>
    <t xml:space="preserve">AVG RUNTIME (MIN)</t>
  </si>
  <si>
    <t xml:space="preserve">NUMBER OF GENRES</t>
  </si>
  <si>
    <t xml:space="preserve">1) REVENUE BY RELEASE YEAR</t>
  </si>
  <si>
    <t xml:space="preserve">2) GENRE DISTRIBUTION</t>
  </si>
  <si>
    <t xml:space="preserve">3) LANGUAGE DISTRIBUTION</t>
  </si>
  <si>
    <t xml:space="preserve">(helper) All Directors</t>
  </si>
  <si>
    <t xml:space="preserve">Release Year</t>
  </si>
  <si>
    <t xml:space="preserve">Total Revenue</t>
  </si>
  <si>
    <t xml:space="preserve">Movie Count</t>
  </si>
  <si>
    <t xml:space="preserve">Avg IMDb Rating</t>
  </si>
  <si>
    <t xml:space="preserve">Genre</t>
  </si>
  <si>
    <t xml:space="preserve">% of Total</t>
  </si>
  <si>
    <t xml:space="preserve">Language</t>
  </si>
  <si>
    <t xml:space="preserve">Director</t>
  </si>
  <si>
    <t xml:space="preserve">Tiebreak Key</t>
  </si>
  <si>
    <t xml:space="preserve">Action</t>
  </si>
  <si>
    <t xml:space="preserve">English</t>
  </si>
  <si>
    <t xml:space="preserve">Aisha Bello</t>
  </si>
  <si>
    <t xml:space="preserve">Adventure</t>
  </si>
  <si>
    <t xml:space="preserve">French</t>
  </si>
  <si>
    <t xml:space="preserve">Amara Johnson</t>
  </si>
  <si>
    <t xml:space="preserve">Animation</t>
  </si>
  <si>
    <t xml:space="preserve">German</t>
  </si>
  <si>
    <t xml:space="preserve">Ben Okafor</t>
  </si>
  <si>
    <t xml:space="preserve">Comedy</t>
  </si>
  <si>
    <t xml:space="preserve">Hindi</t>
  </si>
  <si>
    <t xml:space="preserve">Clara Dubois</t>
  </si>
  <si>
    <t xml:space="preserve">Crime</t>
  </si>
  <si>
    <t xml:space="preserve">Italian</t>
  </si>
  <si>
    <t xml:space="preserve">Connor Walsh</t>
  </si>
  <si>
    <t xml:space="preserve">Documentary</t>
  </si>
  <si>
    <t xml:space="preserve">Japanese</t>
  </si>
  <si>
    <t xml:space="preserve">Daniel Ortiz</t>
  </si>
  <si>
    <t xml:space="preserve">Drama</t>
  </si>
  <si>
    <t xml:space="preserve">Korean</t>
  </si>
  <si>
    <t xml:space="preserve">David Chen</t>
  </si>
  <si>
    <t xml:space="preserve">Fantasy</t>
  </si>
  <si>
    <t xml:space="preserve">Mandarin</t>
  </si>
  <si>
    <t xml:space="preserve">Elena Voss</t>
  </si>
  <si>
    <t xml:space="preserve">Horror</t>
  </si>
  <si>
    <t xml:space="preserve">Portuguese</t>
  </si>
  <si>
    <t xml:space="preserve">Fatima Al-Sayed</t>
  </si>
  <si>
    <t xml:space="preserve">Romance</t>
  </si>
  <si>
    <t xml:space="preserve">Spanish</t>
  </si>
  <si>
    <t xml:space="preserve">Grace Kim</t>
  </si>
  <si>
    <t xml:space="preserve">Sci-Fi</t>
  </si>
  <si>
    <t xml:space="preserve">Unknown</t>
  </si>
  <si>
    <t xml:space="preserve">Hiroshi Tanaka</t>
  </si>
  <si>
    <t xml:space="preserve">Thriller</t>
  </si>
  <si>
    <t xml:space="preserve">Ingrid Solberg</t>
  </si>
  <si>
    <t xml:space="preserve">Isabella Rossi</t>
  </si>
  <si>
    <t xml:space="preserve">James Whitfield</t>
  </si>
  <si>
    <t xml:space="preserve">Karim Haddad</t>
  </si>
  <si>
    <t xml:space="preserve">Lucas Meyer</t>
  </si>
  <si>
    <t xml:space="preserve">Marco Bianchi</t>
  </si>
  <si>
    <t xml:space="preserve">Marcus Reyes</t>
  </si>
  <si>
    <t xml:space="preserve">Mei Lin</t>
  </si>
  <si>
    <t xml:space="preserve">Nadia Petrov</t>
  </si>
  <si>
    <t xml:space="preserve">Olivia Bennett</t>
  </si>
  <si>
    <t xml:space="preserve">Peter Novak</t>
  </si>
  <si>
    <t xml:space="preserve">Priya Nair</t>
  </si>
  <si>
    <t xml:space="preserve">Ryan Sullivan</t>
  </si>
  <si>
    <t xml:space="preserve">Sara Lindqvist</t>
  </si>
  <si>
    <t xml:space="preserve">Sophie Laurent</t>
  </si>
  <si>
    <t xml:space="preserve">Thomas Blake</t>
  </si>
  <si>
    <t xml:space="preserve">4) TOP 10 DIRECTORS BY REVENUE</t>
  </si>
  <si>
    <t xml:space="preserve">5) TOP 10 HIGHEST GROSSING MOVIES</t>
  </si>
  <si>
    <t xml:space="preserve">Tom Ashworth</t>
  </si>
  <si>
    <t xml:space="preserve">Rank</t>
  </si>
  <si>
    <t xml:space="preserve">Movie Title</t>
  </si>
  <si>
    <t xml:space="preserve">Revenue</t>
  </si>
  <si>
    <t xml:space="preserve">Victor Alvarez</t>
  </si>
  <si>
    <t xml:space="preserve">Yuki Sato</t>
  </si>
  <si>
    <t xml:space="preserve">6) IMDB RATING ANALYSIS</t>
  </si>
  <si>
    <t xml:space="preserve">Rating Band</t>
  </si>
  <si>
    <t xml:space="preserve">Avg Budget</t>
  </si>
  <si>
    <t xml:space="preserve">Avg Revenue</t>
  </si>
  <si>
    <t xml:space="preserve">Avg ROI %</t>
  </si>
  <si>
    <t xml:space="preserve">2.0 - 3.0</t>
  </si>
  <si>
    <t xml:space="preserve">3.0 - 4.0</t>
  </si>
  <si>
    <t xml:space="preserve">4.0 - 5.0</t>
  </si>
  <si>
    <t xml:space="preserve">5.0 - 6.0</t>
  </si>
  <si>
    <t xml:space="preserve">6.0 - 7.0</t>
  </si>
  <si>
    <t xml:space="preserve">7.0 - 8.0</t>
  </si>
  <si>
    <t xml:space="preserve">8.0 - 9.0</t>
  </si>
  <si>
    <t xml:space="preserve">9.0 - 9.5</t>
  </si>
  <si>
    <t xml:space="preserve">CLEANED DATA</t>
  </si>
  <si>
    <t xml:space="preserve">222 records | Deduplicated, missing values imputed, formatting standardized | Profit &amp; ROI %% derived.</t>
  </si>
  <si>
    <t xml:space="preserve">Movie ID</t>
  </si>
  <si>
    <t xml:space="preserve">Budget</t>
  </si>
  <si>
    <t xml:space="preserve">IMDb Rating</t>
  </si>
  <si>
    <t xml:space="preserve">Runtime</t>
  </si>
  <si>
    <t xml:space="preserve">Production Company</t>
  </si>
  <si>
    <t xml:space="preserve">Country</t>
  </si>
  <si>
    <t xml:space="preserve">Profit</t>
  </si>
  <si>
    <t xml:space="preserve">ROI %</t>
  </si>
  <si>
    <t xml:space="preserve">RankKey</t>
  </si>
  <si>
    <t xml:space="preserve">Crimson Horizon</t>
  </si>
  <si>
    <t xml:space="preserve">Horizon Media Group</t>
  </si>
  <si>
    <t xml:space="preserve">France</t>
  </si>
  <si>
    <t xml:space="preserve">Endless Empire</t>
  </si>
  <si>
    <t xml:space="preserve">Northgate Pictures</t>
  </si>
  <si>
    <t xml:space="preserve">India</t>
  </si>
  <si>
    <t xml:space="preserve">Fractured Kingdom</t>
  </si>
  <si>
    <t xml:space="preserve">South Korea</t>
  </si>
  <si>
    <t xml:space="preserve">Fractured River</t>
  </si>
  <si>
    <t xml:space="preserve">Echo Ridge Productions</t>
  </si>
  <si>
    <t xml:space="preserve">Golden Paradox</t>
  </si>
  <si>
    <t xml:space="preserve">Redwood Entertainment</t>
  </si>
  <si>
    <t xml:space="preserve">Japan</t>
  </si>
  <si>
    <t xml:space="preserve">Last Reckoning</t>
  </si>
  <si>
    <t xml:space="preserve">Ironvale Studios</t>
  </si>
  <si>
    <t xml:space="preserve">Midnight Kingdom Reborn</t>
  </si>
  <si>
    <t xml:space="preserve">BluePeak Films</t>
  </si>
  <si>
    <t xml:space="preserve">Spain</t>
  </si>
  <si>
    <t xml:space="preserve">Sacred Harbor</t>
  </si>
  <si>
    <t xml:space="preserve">Crescent Bay Productions</t>
  </si>
  <si>
    <t xml:space="preserve">Australia</t>
  </si>
  <si>
    <t xml:space="preserve">Sacred Whisper</t>
  </si>
  <si>
    <t xml:space="preserve">Broken Whisper</t>
  </si>
  <si>
    <t xml:space="preserve">Pinnacle Films</t>
  </si>
  <si>
    <t xml:space="preserve">USA</t>
  </si>
  <si>
    <t xml:space="preserve">Golden Horizon Ii</t>
  </si>
  <si>
    <t xml:space="preserve">UK</t>
  </si>
  <si>
    <t xml:space="preserve">Silver Path</t>
  </si>
  <si>
    <t xml:space="preserve">Wild Horizon Rising</t>
  </si>
  <si>
    <t xml:space="preserve">Brazil</t>
  </si>
  <si>
    <t xml:space="preserve">Broken Path</t>
  </si>
  <si>
    <t xml:space="preserve">Broken Requiem</t>
  </si>
  <si>
    <t xml:space="preserve">Burning Path</t>
  </si>
  <si>
    <t xml:space="preserve">Endless Voyage</t>
  </si>
  <si>
    <t xml:space="preserve">Canada</t>
  </si>
  <si>
    <t xml:space="preserve">Eternal Requiem</t>
  </si>
  <si>
    <t xml:space="preserve">Frozen Symphony</t>
  </si>
  <si>
    <t xml:space="preserve">Vantage Point Pictures</t>
  </si>
  <si>
    <t xml:space="preserve">Golden Vault</t>
  </si>
  <si>
    <t xml:space="preserve">Germany</t>
  </si>
  <si>
    <t xml:space="preserve">Golden Whisper</t>
  </si>
  <si>
    <t xml:space="preserve">Lost Empire</t>
  </si>
  <si>
    <t xml:space="preserve">Nova Cinema Works</t>
  </si>
  <si>
    <t xml:space="preserve">Lost Symphony</t>
  </si>
  <si>
    <t xml:space="preserve">China</t>
  </si>
  <si>
    <t xml:space="preserve">Shadow Odyssey Rising</t>
  </si>
  <si>
    <t xml:space="preserve">Silver Arc Studios</t>
  </si>
  <si>
    <t xml:space="preserve">Silver Echoes</t>
  </si>
  <si>
    <t xml:space="preserve">Silver Symphony Rising</t>
  </si>
  <si>
    <t xml:space="preserve">Wild Frontier</t>
  </si>
  <si>
    <t xml:space="preserve">Lumen Pictures</t>
  </si>
  <si>
    <t xml:space="preserve">Wild Legacy</t>
  </si>
  <si>
    <t xml:space="preserve">Golden Frame Studios</t>
  </si>
  <si>
    <t xml:space="preserve">Wild Requiem</t>
  </si>
  <si>
    <t xml:space="preserve">Broken Storm Ii</t>
  </si>
  <si>
    <t xml:space="preserve">Crimson Path</t>
  </si>
  <si>
    <t xml:space="preserve">Crimson Storm Rising</t>
  </si>
  <si>
    <t xml:space="preserve">Eternal Signal</t>
  </si>
  <si>
    <t xml:space="preserve">Golden Path</t>
  </si>
  <si>
    <t xml:space="preserve">Hidden River</t>
  </si>
  <si>
    <t xml:space="preserve">Silent Vault</t>
  </si>
  <si>
    <t xml:space="preserve">Wild Echoes Ii</t>
  </si>
  <si>
    <t xml:space="preserve">Wild Signal</t>
  </si>
  <si>
    <t xml:space="preserve">Broken Horizon</t>
  </si>
  <si>
    <t xml:space="preserve">Distant Garden</t>
  </si>
  <si>
    <t xml:space="preserve">Endless Harbor</t>
  </si>
  <si>
    <t xml:space="preserve">Endless Storm</t>
  </si>
  <si>
    <t xml:space="preserve">Frozen Requiem</t>
  </si>
  <si>
    <t xml:space="preserve">Cobalt Sky Films</t>
  </si>
  <si>
    <t xml:space="preserve">Golden Legacy</t>
  </si>
  <si>
    <t xml:space="preserve">Golden Symphony</t>
  </si>
  <si>
    <t xml:space="preserve">Hidden Frontier</t>
  </si>
  <si>
    <t xml:space="preserve">Hidden Storm</t>
  </si>
  <si>
    <t xml:space="preserve">Rising Harbor</t>
  </si>
  <si>
    <t xml:space="preserve">Rising Storm Rising</t>
  </si>
  <si>
    <t xml:space="preserve">Silent Path</t>
  </si>
  <si>
    <t xml:space="preserve">Silent Reckoning</t>
  </si>
  <si>
    <t xml:space="preserve">Wild Whisper</t>
  </si>
  <si>
    <t xml:space="preserve">Burning Odyssey</t>
  </si>
  <si>
    <t xml:space="preserve">Meridian Studios</t>
  </si>
  <si>
    <t xml:space="preserve">Burning Requiem</t>
  </si>
  <si>
    <t xml:space="preserve">Distant Echoes</t>
  </si>
  <si>
    <t xml:space="preserve">Italy</t>
  </si>
  <si>
    <t xml:space="preserve">Forgotten Vault</t>
  </si>
  <si>
    <t xml:space="preserve">Frozen Frontier</t>
  </si>
  <si>
    <t xml:space="preserve">Frozen Harbor</t>
  </si>
  <si>
    <t xml:space="preserve">Hidden Reckoning</t>
  </si>
  <si>
    <t xml:space="preserve">Rising Vault</t>
  </si>
  <si>
    <t xml:space="preserve">Sacred Signal</t>
  </si>
  <si>
    <t xml:space="preserve">Shadow Reckoning</t>
  </si>
  <si>
    <t xml:space="preserve">Endless Echoes</t>
  </si>
  <si>
    <t xml:space="preserve">Endless Vault</t>
  </si>
  <si>
    <t xml:space="preserve">Frozen Garden Rising</t>
  </si>
  <si>
    <t xml:space="preserve">Frozen Harbor Rising</t>
  </si>
  <si>
    <t xml:space="preserve">Midnight Paradox</t>
  </si>
  <si>
    <t xml:space="preserve">Silent Signal</t>
  </si>
  <si>
    <t xml:space="preserve">Silver Voyage</t>
  </si>
  <si>
    <t xml:space="preserve">Burning Storm</t>
  </si>
  <si>
    <t xml:space="preserve">Burning Symphony</t>
  </si>
  <si>
    <t xml:space="preserve">Distant Signal</t>
  </si>
  <si>
    <t xml:space="preserve">Frozen Reckoning</t>
  </si>
  <si>
    <t xml:space="preserve">Frozen Signal Rising</t>
  </si>
  <si>
    <t xml:space="preserve">Hidden Reckoning Rising</t>
  </si>
  <si>
    <t xml:space="preserve">Silent Kingdom</t>
  </si>
  <si>
    <t xml:space="preserve">Silent River</t>
  </si>
  <si>
    <t xml:space="preserve">Silent Voyage Ii</t>
  </si>
  <si>
    <t xml:space="preserve">Frozen Kingdom</t>
  </si>
  <si>
    <t xml:space="preserve">Golden Harbor</t>
  </si>
  <si>
    <t xml:space="preserve">Hidden Requiem Rising</t>
  </si>
  <si>
    <t xml:space="preserve">Lost Paradox</t>
  </si>
  <si>
    <t xml:space="preserve">Rising Symphony</t>
  </si>
  <si>
    <t xml:space="preserve">Shadow Legacy</t>
  </si>
  <si>
    <t xml:space="preserve">Silver Harbor</t>
  </si>
  <si>
    <t xml:space="preserve">Silver River</t>
  </si>
  <si>
    <t xml:space="preserve">Crimson Requiem</t>
  </si>
  <si>
    <t xml:space="preserve">Crimson Vault</t>
  </si>
  <si>
    <t xml:space="preserve">Forgotten Kingdom</t>
  </si>
  <si>
    <t xml:space="preserve">Fractured Whisper</t>
  </si>
  <si>
    <t xml:space="preserve">Midnight Horizon</t>
  </si>
  <si>
    <t xml:space="preserve">Rising Frontier</t>
  </si>
  <si>
    <t xml:space="preserve">Silent Paradox</t>
  </si>
  <si>
    <t xml:space="preserve">Wild Symphony</t>
  </si>
  <si>
    <t xml:space="preserve">Broken Paradox</t>
  </si>
  <si>
    <t xml:space="preserve">Crimson Legacy</t>
  </si>
  <si>
    <t xml:space="preserve">Crimson Symphony</t>
  </si>
  <si>
    <t xml:space="preserve">Frozen Storm</t>
  </si>
  <si>
    <t xml:space="preserve">Last Odyssey</t>
  </si>
  <si>
    <t xml:space="preserve">Shadow Vault</t>
  </si>
  <si>
    <t xml:space="preserve">Silver Requiem</t>
  </si>
  <si>
    <t xml:space="preserve">Silver Signal</t>
  </si>
  <si>
    <t xml:space="preserve">Wild Storm</t>
  </si>
  <si>
    <t xml:space="preserve">Broken Harbor</t>
  </si>
  <si>
    <t xml:space="preserve">Crimson Paradox</t>
  </si>
  <si>
    <t xml:space="preserve">Forgotten Empire</t>
  </si>
  <si>
    <t xml:space="preserve">Fractured Horizon Ii</t>
  </si>
  <si>
    <t xml:space="preserve">Fractured Voyage</t>
  </si>
  <si>
    <t xml:space="preserve">Frozen Echoes</t>
  </si>
  <si>
    <t xml:space="preserve">Last Paradox</t>
  </si>
  <si>
    <t xml:space="preserve">Midnight Voyage Ii</t>
  </si>
  <si>
    <t xml:space="preserve">Silver Reckoning</t>
  </si>
  <si>
    <t xml:space="preserve">Wild Paradox</t>
  </si>
  <si>
    <t xml:space="preserve">Burning Garden Reborn</t>
  </si>
  <si>
    <t xml:space="preserve">Distant Odyssey</t>
  </si>
  <si>
    <t xml:space="preserve">Lost Horizon</t>
  </si>
  <si>
    <t xml:space="preserve">Rising Echoes</t>
  </si>
  <si>
    <t xml:space="preserve">Rising Odyssey</t>
  </si>
  <si>
    <t xml:space="preserve">Sacred Empire</t>
  </si>
  <si>
    <t xml:space="preserve">Sacred Kingdom</t>
  </si>
  <si>
    <t xml:space="preserve">Silent Harbor</t>
  </si>
  <si>
    <t xml:space="preserve">Broken Odyssey</t>
  </si>
  <si>
    <t xml:space="preserve">Broken Vault</t>
  </si>
  <si>
    <t xml:space="preserve">Burning Vault</t>
  </si>
  <si>
    <t xml:space="preserve">Crimson Odyssey Ii</t>
  </si>
  <si>
    <t xml:space="preserve">Lost Vault</t>
  </si>
  <si>
    <t xml:space="preserve">Midnight Voyage</t>
  </si>
  <si>
    <t xml:space="preserve">Rising Horizon</t>
  </si>
  <si>
    <t xml:space="preserve">Shadow Frontier</t>
  </si>
  <si>
    <t xml:space="preserve">Shadow Voyage</t>
  </si>
  <si>
    <t xml:space="preserve">Silver Frontier Rising</t>
  </si>
  <si>
    <t xml:space="preserve">Silver Horizon</t>
  </si>
  <si>
    <t xml:space="preserve">Crimson Whisper</t>
  </si>
  <si>
    <t xml:space="preserve">Distant River</t>
  </si>
  <si>
    <t xml:space="preserve">Eternal Path</t>
  </si>
  <si>
    <t xml:space="preserve">Eternal Requiem Reborn</t>
  </si>
  <si>
    <t xml:space="preserve">Golden Voyage</t>
  </si>
  <si>
    <t xml:space="preserve">Lost Kingdom</t>
  </si>
  <si>
    <t xml:space="preserve">Lost River</t>
  </si>
  <si>
    <t xml:space="preserve">Rising Legacy</t>
  </si>
  <si>
    <t xml:space="preserve">Silent Voyage</t>
  </si>
  <si>
    <t xml:space="preserve">Burning Paradox</t>
  </si>
  <si>
    <t xml:space="preserve">Eternal Symphony</t>
  </si>
  <si>
    <t xml:space="preserve">Fractured Frontier Iii</t>
  </si>
  <si>
    <t xml:space="preserve">Lost Odyssey</t>
  </si>
  <si>
    <t xml:space="preserve">Burning Voyage Reborn</t>
  </si>
  <si>
    <t xml:space="preserve">Crimson Harbor Reborn</t>
  </si>
  <si>
    <t xml:space="preserve">Distant Paradox Ii</t>
  </si>
  <si>
    <t xml:space="preserve">Endless River</t>
  </si>
  <si>
    <t xml:space="preserve">Eternal Frontier</t>
  </si>
  <si>
    <t xml:space="preserve">Lost Garden</t>
  </si>
  <si>
    <t xml:space="preserve">Rising Storm</t>
  </si>
  <si>
    <t xml:space="preserve">Sacred River Reborn</t>
  </si>
  <si>
    <t xml:space="preserve">Broken Reckoning Reborn</t>
  </si>
  <si>
    <t xml:space="preserve">Broken Storm</t>
  </si>
  <si>
    <t xml:space="preserve">Forgotten River</t>
  </si>
  <si>
    <t xml:space="preserve">Golden Frontier</t>
  </si>
  <si>
    <t xml:space="preserve">Last Echoes</t>
  </si>
  <si>
    <t xml:space="preserve">Midnight Reckoning</t>
  </si>
  <si>
    <t xml:space="preserve">Silent Storm</t>
  </si>
  <si>
    <t xml:space="preserve">Broken Empire</t>
  </si>
  <si>
    <t xml:space="preserve">Crimson Harbor</t>
  </si>
  <si>
    <t xml:space="preserve">Endless Horizon Rising</t>
  </si>
  <si>
    <t xml:space="preserve">Eternal Echoes Rising</t>
  </si>
  <si>
    <t xml:space="preserve">Forgotten Paradox</t>
  </si>
  <si>
    <t xml:space="preserve">Frozen Path</t>
  </si>
  <si>
    <t xml:space="preserve">Frozen Path Reborn</t>
  </si>
  <si>
    <t xml:space="preserve">Frozen River</t>
  </si>
  <si>
    <t xml:space="preserve">Silver Garden</t>
  </si>
  <si>
    <t xml:space="preserve">Broken Kingdom</t>
  </si>
  <si>
    <t xml:space="preserve">Distant Legacy</t>
  </si>
  <si>
    <t xml:space="preserve">Distant Paradox</t>
  </si>
  <si>
    <t xml:space="preserve">Distant Reckoning</t>
  </si>
  <si>
    <t xml:space="preserve">Eternal Echoes</t>
  </si>
  <si>
    <t xml:space="preserve">Eternal Empire Rising</t>
  </si>
  <si>
    <t xml:space="preserve">Hidden Echoes</t>
  </si>
  <si>
    <t xml:space="preserve">Midnight Signal</t>
  </si>
  <si>
    <t xml:space="preserve">Sacred Paradox Ii</t>
  </si>
  <si>
    <t xml:space="preserve">Silent Symphony</t>
  </si>
  <si>
    <t xml:space="preserve">Crimson Frontier</t>
  </si>
  <si>
    <t xml:space="preserve">Endless Reckoning Ii</t>
  </si>
  <si>
    <t xml:space="preserve">Endless Requiem</t>
  </si>
  <si>
    <t xml:space="preserve">Forgotten Storm</t>
  </si>
  <si>
    <t xml:space="preserve">Hidden Signal</t>
  </si>
  <si>
    <t xml:space="preserve">Lost Requiem</t>
  </si>
  <si>
    <t xml:space="preserve">Midnight Echoes</t>
  </si>
  <si>
    <t xml:space="preserve">Midnight Vault Iii</t>
  </si>
  <si>
    <t xml:space="preserve">Sacred Reckoning</t>
  </si>
  <si>
    <t xml:space="preserve">Silent Vault Rising</t>
  </si>
  <si>
    <t xml:space="preserve">Silver Kingdom</t>
  </si>
  <si>
    <t xml:space="preserve">Wild Reckoning</t>
  </si>
  <si>
    <t xml:space="preserve">Burning Garden</t>
  </si>
  <si>
    <t xml:space="preserve">Endless Symphony</t>
  </si>
  <si>
    <t xml:space="preserve">Forgotten Frontier</t>
  </si>
  <si>
    <t xml:space="preserve">Fractured Path</t>
  </si>
  <si>
    <t xml:space="preserve">Frozen Garden</t>
  </si>
  <si>
    <t xml:space="preserve">Last Signal Reborn</t>
  </si>
  <si>
    <t xml:space="preserve">Lost Signal</t>
  </si>
  <si>
    <t xml:space="preserve">Rising River</t>
  </si>
  <si>
    <t xml:space="preserve">Shadow Whisper</t>
  </si>
  <si>
    <t xml:space="preserve">Silver Legacy</t>
  </si>
  <si>
    <t xml:space="preserve">Silver Storm</t>
  </si>
  <si>
    <t xml:space="preserve">Endless Horizon</t>
  </si>
  <si>
    <t xml:space="preserve">Eternal River</t>
  </si>
  <si>
    <t xml:space="preserve">Fractured Reckoning</t>
  </si>
  <si>
    <t xml:space="preserve">Rising Garden</t>
  </si>
  <si>
    <t xml:space="preserve">Wild Paradox Rising</t>
  </si>
  <si>
    <t xml:space="preserve">Wild Requiem Ii</t>
  </si>
  <si>
    <t xml:space="preserve">Wild River</t>
  </si>
  <si>
    <t xml:space="preserve">Broken Frontier</t>
  </si>
  <si>
    <t xml:space="preserve">Forgotten Legacy</t>
  </si>
  <si>
    <t xml:space="preserve">Hidden Voyage</t>
  </si>
  <si>
    <t xml:space="preserve">Sacred Voyage</t>
  </si>
  <si>
    <t xml:space="preserve">Shadow Echoes Iii</t>
  </si>
  <si>
    <t xml:space="preserve">Crimson Garden</t>
  </si>
  <si>
    <t xml:space="preserve">Distant Empire</t>
  </si>
  <si>
    <t xml:space="preserve">Endless Odyssey Ii</t>
  </si>
  <si>
    <t xml:space="preserve">Fractured Empire</t>
  </si>
  <si>
    <t xml:space="preserve">Golden Storm</t>
  </si>
  <si>
    <t xml:space="preserve">Midnight Garden</t>
  </si>
  <si>
    <t xml:space="preserve">RAW DATA (BEFORE CLEANING)</t>
  </si>
  <si>
    <t xml:space="preserve">Unprocessed export — contains duplicates, missing values and inconsistent formatting (kept intentionally for comparison).</t>
  </si>
  <si>
    <t xml:space="preserve">82753000.0</t>
  </si>
  <si>
    <t xml:space="preserve">87195000.0</t>
  </si>
  <si>
    <t xml:space="preserve">4684000.0</t>
  </si>
  <si>
    <t xml:space="preserve">8545000.0</t>
  </si>
  <si>
    <t xml:space="preserve">13422000.0</t>
  </si>
  <si>
    <t xml:space="preserve">  Silent Vault  </t>
  </si>
  <si>
    <t xml:space="preserve">3349000.0</t>
  </si>
  <si>
    <t xml:space="preserve">6578000.0</t>
  </si>
  <si>
    <t xml:space="preserve">98711000.0</t>
  </si>
  <si>
    <t xml:space="preserve">63618000.0</t>
  </si>
  <si>
    <t xml:space="preserve">90933000.0</t>
  </si>
  <si>
    <t xml:space="preserve">108359000.0</t>
  </si>
  <si>
    <t xml:space="preserve">Wild Echoes II</t>
  </si>
  <si>
    <t xml:space="preserve">25557000.0</t>
  </si>
  <si>
    <t xml:space="preserve">135214000.0</t>
  </si>
  <si>
    <t xml:space="preserve">10215000.0</t>
  </si>
  <si>
    <t xml:space="preserve">$15,179,000</t>
  </si>
  <si>
    <t xml:space="preserve">67401000.0</t>
  </si>
  <si>
    <t xml:space="preserve">193895000.0</t>
  </si>
  <si>
    <t xml:space="preserve">18212000.0</t>
  </si>
  <si>
    <t xml:space="preserve">73840000.0</t>
  </si>
  <si>
    <t xml:space="preserve">28427000.0</t>
  </si>
  <si>
    <t xml:space="preserve">102222000.0</t>
  </si>
  <si>
    <t xml:space="preserve">27409000.0</t>
  </si>
  <si>
    <t xml:space="preserve">Midnight Vault III</t>
  </si>
  <si>
    <t xml:space="preserve">123669000.0</t>
  </si>
  <si>
    <t xml:space="preserve">3569000.0</t>
  </si>
  <si>
    <t xml:space="preserve">Endless Reckoning II</t>
  </si>
  <si>
    <t xml:space="preserve">162020000.0</t>
  </si>
  <si>
    <t xml:space="preserve">198120000.0</t>
  </si>
  <si>
    <t xml:space="preserve">121884000.0</t>
  </si>
  <si>
    <t xml:space="preserve">260222000.0</t>
  </si>
  <si>
    <t xml:space="preserve">60571000.0</t>
  </si>
  <si>
    <t xml:space="preserve">212013000.0</t>
  </si>
  <si>
    <t xml:space="preserve">22369000.0</t>
  </si>
  <si>
    <t xml:space="preserve">66050000.0</t>
  </si>
  <si>
    <t xml:space="preserve">63091000.0</t>
  </si>
  <si>
    <t xml:space="preserve">102002000.0</t>
  </si>
  <si>
    <t xml:space="preserve">53207000.0</t>
  </si>
  <si>
    <t xml:space="preserve">231283000.0</t>
  </si>
  <si>
    <t xml:space="preserve">108787000.0</t>
  </si>
  <si>
    <t xml:space="preserve">331790000.0</t>
  </si>
  <si>
    <t xml:space="preserve">81997000.0</t>
  </si>
  <si>
    <t xml:space="preserve">311900000.0</t>
  </si>
  <si>
    <t xml:space="preserve">$90,501,000</t>
  </si>
  <si>
    <t xml:space="preserve">218870000.0</t>
  </si>
  <si>
    <t xml:space="preserve">133989000.0</t>
  </si>
  <si>
    <t xml:space="preserve">610881000.0</t>
  </si>
  <si>
    <t xml:space="preserve">66988000.0</t>
  </si>
  <si>
    <t xml:space="preserve">235993000.0</t>
  </si>
  <si>
    <t xml:space="preserve">75907000.0</t>
  </si>
  <si>
    <t xml:space="preserve">$95,643,000</t>
  </si>
  <si>
    <t xml:space="preserve">103880000.0</t>
  </si>
  <si>
    <t xml:space="preserve">387550000.0</t>
  </si>
  <si>
    <t xml:space="preserve">12590000.0</t>
  </si>
  <si>
    <t xml:space="preserve">79886000.0</t>
  </si>
  <si>
    <t xml:space="preserve">134306000.0</t>
  </si>
  <si>
    <t xml:space="preserve">295352000.0</t>
  </si>
  <si>
    <t xml:space="preserve">88576000.0</t>
  </si>
  <si>
    <t xml:space="preserve">351044000.0</t>
  </si>
  <si>
    <t xml:space="preserve">30046000.0</t>
  </si>
  <si>
    <t xml:space="preserve">39508000.0</t>
  </si>
  <si>
    <t xml:space="preserve">19892000.0</t>
  </si>
  <si>
    <t xml:space="preserve">23334000.0</t>
  </si>
  <si>
    <t xml:space="preserve">31560000.0</t>
  </si>
  <si>
    <t xml:space="preserve">64134000.0</t>
  </si>
  <si>
    <t xml:space="preserve">Distant Paradox II</t>
  </si>
  <si>
    <t xml:space="preserve">66473000.0</t>
  </si>
  <si>
    <t xml:space="preserve">216196000.0</t>
  </si>
  <si>
    <t xml:space="preserve">89850000.0</t>
  </si>
  <si>
    <t xml:space="preserve">66754000.0</t>
  </si>
  <si>
    <t xml:space="preserve">Broken Storm II</t>
  </si>
  <si>
    <t xml:space="preserve">22207000.0</t>
  </si>
  <si>
    <t xml:space="preserve">41049000.0</t>
  </si>
  <si>
    <t xml:space="preserve">16676000.0</t>
  </si>
  <si>
    <t xml:space="preserve">57053000.0</t>
  </si>
  <si>
    <t xml:space="preserve">43738000.0</t>
  </si>
  <si>
    <t xml:space="preserve">167010000.0</t>
  </si>
  <si>
    <t xml:space="preserve">17872000.0</t>
  </si>
  <si>
    <t xml:space="preserve">47357000.0</t>
  </si>
  <si>
    <t xml:space="preserve">23081000.0</t>
  </si>
  <si>
    <t xml:space="preserve">161780000.0</t>
  </si>
  <si>
    <t xml:space="preserve">22023000.0</t>
  </si>
  <si>
    <t xml:space="preserve">95643000.0</t>
  </si>
  <si>
    <t xml:space="preserve">drama</t>
  </si>
  <si>
    <t xml:space="preserve">40913000.0</t>
  </si>
  <si>
    <t xml:space="preserve">54639000.0</t>
  </si>
  <si>
    <t xml:space="preserve">124019000.0</t>
  </si>
  <si>
    <t xml:space="preserve">33723000.0</t>
  </si>
  <si>
    <t xml:space="preserve">94304000.0</t>
  </si>
  <si>
    <t xml:space="preserve">6877000.0</t>
  </si>
  <si>
    <t xml:space="preserve">11786000.0</t>
  </si>
  <si>
    <t xml:space="preserve">16962000.0</t>
  </si>
  <si>
    <t xml:space="preserve">35787000.0</t>
  </si>
  <si>
    <t xml:space="preserve">RISING STORM</t>
  </si>
  <si>
    <t xml:space="preserve">38584000.0</t>
  </si>
  <si>
    <t xml:space="preserve">188808000.0</t>
  </si>
  <si>
    <t xml:space="preserve">61985000.0</t>
  </si>
  <si>
    <t xml:space="preserve">233939000.0</t>
  </si>
  <si>
    <t xml:space="preserve">40009000.0</t>
  </si>
  <si>
    <t xml:space="preserve">145715000.0</t>
  </si>
  <si>
    <t xml:space="preserve">102937000.0</t>
  </si>
  <si>
    <t xml:space="preserve">64222000.0</t>
  </si>
  <si>
    <t xml:space="preserve">36243000.0</t>
  </si>
  <si>
    <t xml:space="preserve">68708000.0</t>
  </si>
  <si>
    <t xml:space="preserve">148399000.0</t>
  </si>
  <si>
    <t xml:space="preserve">fantasy</t>
  </si>
  <si>
    <t xml:space="preserve">139376000.0</t>
  </si>
  <si>
    <t xml:space="preserve">409636000.0</t>
  </si>
  <si>
    <t xml:space="preserve">United States</t>
  </si>
  <si>
    <t xml:space="preserve">123474000.0</t>
  </si>
  <si>
    <t xml:space="preserve">1407192000.0</t>
  </si>
  <si>
    <t xml:space="preserve">23877000.0</t>
  </si>
  <si>
    <t xml:space="preserve">50311000.0</t>
  </si>
  <si>
    <t xml:space="preserve">4495000.0</t>
  </si>
  <si>
    <t xml:space="preserve">4616000.0</t>
  </si>
  <si>
    <t xml:space="preserve">ETERNAL REQUIEM</t>
  </si>
  <si>
    <t xml:space="preserve">11897000.0</t>
  </si>
  <si>
    <t xml:space="preserve">36463000.0</t>
  </si>
  <si>
    <t xml:space="preserve">28385000.0</t>
  </si>
  <si>
    <t xml:space="preserve">52204000.0</t>
  </si>
  <si>
    <t xml:space="preserve">66096000.0</t>
  </si>
  <si>
    <t xml:space="preserve">130934000.0</t>
  </si>
  <si>
    <t xml:space="preserve">59788000.0</t>
  </si>
  <si>
    <t xml:space="preserve">118434000.0</t>
  </si>
  <si>
    <t xml:space="preserve">110302000.0</t>
  </si>
  <si>
    <t xml:space="preserve">257523000.0</t>
  </si>
  <si>
    <t xml:space="preserve">  Burning Odyssey  </t>
  </si>
  <si>
    <t xml:space="preserve">27133000.0</t>
  </si>
  <si>
    <t xml:space="preserve">35355000.0</t>
  </si>
  <si>
    <t xml:space="preserve">12203000.0</t>
  </si>
  <si>
    <t xml:space="preserve">52071000.0</t>
  </si>
  <si>
    <t xml:space="preserve">118775000.0</t>
  </si>
  <si>
    <t xml:space="preserve">160328000.0</t>
  </si>
  <si>
    <t xml:space="preserve">30821000.0</t>
  </si>
  <si>
    <t xml:space="preserve">51697000.0</t>
  </si>
  <si>
    <t xml:space="preserve">$93,587,000</t>
  </si>
  <si>
    <t xml:space="preserve">161817000.0</t>
  </si>
  <si>
    <t xml:space="preserve">documentary</t>
  </si>
  <si>
    <t xml:space="preserve">4025000.0</t>
  </si>
  <si>
    <t xml:space="preserve">7313000.0</t>
  </si>
  <si>
    <t xml:space="preserve">71762000.0</t>
  </si>
  <si>
    <t xml:space="preserve">65937000.0</t>
  </si>
  <si>
    <t xml:space="preserve">105148000.0</t>
  </si>
  <si>
    <t xml:space="preserve">482080000.0</t>
  </si>
  <si>
    <t xml:space="preserve">92168000.0</t>
  </si>
  <si>
    <t xml:space="preserve">1271415000.0</t>
  </si>
  <si>
    <t xml:space="preserve">9244000.0</t>
  </si>
  <si>
    <t xml:space="preserve">46840000.0</t>
  </si>
  <si>
    <t xml:space="preserve">69746000.0</t>
  </si>
  <si>
    <t xml:space="preserve">63388000.0</t>
  </si>
  <si>
    <t xml:space="preserve">65583000.0</t>
  </si>
  <si>
    <t xml:space="preserve">123240000.0</t>
  </si>
  <si>
    <t xml:space="preserve">$26,788,000</t>
  </si>
  <si>
    <t xml:space="preserve">67535000.0</t>
  </si>
  <si>
    <t xml:space="preserve">5091000.0</t>
  </si>
  <si>
    <t xml:space="preserve">7936000.0</t>
  </si>
  <si>
    <t xml:space="preserve">74489000.0</t>
  </si>
  <si>
    <t xml:space="preserve">106255000.0</t>
  </si>
  <si>
    <t xml:space="preserve">99356000.0</t>
  </si>
  <si>
    <t xml:space="preserve">422413000.0</t>
  </si>
  <si>
    <t xml:space="preserve">42271000.0</t>
  </si>
  <si>
    <t xml:space="preserve">303996000.0</t>
  </si>
  <si>
    <t xml:space="preserve">22306000.0</t>
  </si>
  <si>
    <t xml:space="preserve">90661000.0</t>
  </si>
  <si>
    <t xml:space="preserve">Wild Requiem II</t>
  </si>
  <si>
    <t xml:space="preserve">59592000.0</t>
  </si>
  <si>
    <t xml:space="preserve">$101,072,000</t>
  </si>
  <si>
    <t xml:space="preserve">57272000.0</t>
  </si>
  <si>
    <t xml:space="preserve">29158000.0</t>
  </si>
  <si>
    <t xml:space="preserve">22422000.0</t>
  </si>
  <si>
    <t xml:space="preserve">113045000.0</t>
  </si>
  <si>
    <t xml:space="preserve">115817000.0</t>
  </si>
  <si>
    <t xml:space="preserve">70779000.0</t>
  </si>
  <si>
    <t xml:space="preserve">400165000.0</t>
  </si>
  <si>
    <t xml:space="preserve">62671000.0</t>
  </si>
  <si>
    <t xml:space="preserve">171259000.0</t>
  </si>
  <si>
    <t xml:space="preserve">Midnight Voyage II</t>
  </si>
  <si>
    <t xml:space="preserve">35748000.0</t>
  </si>
  <si>
    <t xml:space="preserve">111058000.0</t>
  </si>
  <si>
    <t xml:space="preserve">29590000.0</t>
  </si>
  <si>
    <t xml:space="preserve">51751000.0</t>
  </si>
  <si>
    <t xml:space="preserve">sci-fi</t>
  </si>
  <si>
    <t xml:space="preserve">125296000.0</t>
  </si>
  <si>
    <t xml:space="preserve">608788000.0</t>
  </si>
  <si>
    <t xml:space="preserve">36305000.0</t>
  </si>
  <si>
    <t xml:space="preserve">145373000.0</t>
  </si>
  <si>
    <t xml:space="preserve">18132000.0</t>
  </si>
  <si>
    <t xml:space="preserve">54902000.0</t>
  </si>
  <si>
    <t xml:space="preserve">44479000.0</t>
  </si>
  <si>
    <t xml:space="preserve">49759000.0</t>
  </si>
  <si>
    <t xml:space="preserve">41405000.0</t>
  </si>
  <si>
    <t xml:space="preserve">68004000.0</t>
  </si>
  <si>
    <t xml:space="preserve">150899000.0</t>
  </si>
  <si>
    <t xml:space="preserve">113231000.0</t>
  </si>
  <si>
    <t xml:space="preserve">152960000.0</t>
  </si>
  <si>
    <t xml:space="preserve">  Frozen River  </t>
  </si>
  <si>
    <t xml:space="preserve">96029000.0</t>
  </si>
  <si>
    <t xml:space="preserve">119148000.0</t>
  </si>
  <si>
    <t xml:space="preserve">58181000.0</t>
  </si>
  <si>
    <t xml:space="preserve">159360000.0</t>
  </si>
  <si>
    <t xml:space="preserve">93831000.0</t>
  </si>
  <si>
    <t xml:space="preserve">122544000.0</t>
  </si>
  <si>
    <t xml:space="preserve">142763000.0</t>
  </si>
  <si>
    <t xml:space="preserve">299809000.0</t>
  </si>
  <si>
    <t xml:space="preserve">40063000.0</t>
  </si>
  <si>
    <t xml:space="preserve">62732000.0</t>
  </si>
  <si>
    <t xml:space="preserve">41925000.0</t>
  </si>
  <si>
    <t xml:space="preserve">147818000.0</t>
  </si>
  <si>
    <t xml:space="preserve">104224000.0</t>
  </si>
  <si>
    <t xml:space="preserve">134427000.0</t>
  </si>
  <si>
    <t xml:space="preserve">89273000.0</t>
  </si>
  <si>
    <t xml:space="preserve">$938,683,000</t>
  </si>
  <si>
    <t xml:space="preserve">5543000.0</t>
  </si>
  <si>
    <t xml:space="preserve">5578000.0</t>
  </si>
  <si>
    <t xml:space="preserve">56716000.0</t>
  </si>
  <si>
    <t xml:space="preserve">151265000.0</t>
  </si>
  <si>
    <t xml:space="preserve">44893000.0</t>
  </si>
  <si>
    <t xml:space="preserve">76974000.0</t>
  </si>
  <si>
    <t xml:space="preserve">206207000.0</t>
  </si>
  <si>
    <t xml:space="preserve">animation</t>
  </si>
  <si>
    <t xml:space="preserve">37753000.0</t>
  </si>
  <si>
    <t xml:space="preserve">334646000.0</t>
  </si>
  <si>
    <t xml:space="preserve">64927000.0</t>
  </si>
  <si>
    <t xml:space="preserve">187860000.0</t>
  </si>
  <si>
    <t xml:space="preserve">170618000.0</t>
  </si>
  <si>
    <t xml:space="preserve">557195000.0</t>
  </si>
  <si>
    <t xml:space="preserve">$135,609,000</t>
  </si>
  <si>
    <t xml:space="preserve">203244000.0</t>
  </si>
  <si>
    <t xml:space="preserve">305307000.0</t>
  </si>
  <si>
    <t xml:space="preserve">73583000.0</t>
  </si>
  <si>
    <t xml:space="preserve">582153000.0</t>
  </si>
  <si>
    <t xml:space="preserve">6927000.0</t>
  </si>
  <si>
    <t xml:space="preserve">22745000.0</t>
  </si>
  <si>
    <t xml:space="preserve">173308000.0</t>
  </si>
  <si>
    <t xml:space="preserve">1456529000.0</t>
  </si>
  <si>
    <t xml:space="preserve">18090000.0</t>
  </si>
  <si>
    <t xml:space="preserve">660031000.0</t>
  </si>
  <si>
    <t xml:space="preserve">53920000.0</t>
  </si>
  <si>
    <t xml:space="preserve">204108000.0</t>
  </si>
  <si>
    <t xml:space="preserve">$223,629,000</t>
  </si>
  <si>
    <t xml:space="preserve">7173000.0</t>
  </si>
  <si>
    <t xml:space="preserve">28194000.0</t>
  </si>
  <si>
    <t xml:space="preserve">106943000.0</t>
  </si>
  <si>
    <t xml:space="preserve">685629000.0</t>
  </si>
  <si>
    <t xml:space="preserve">$50,795,000</t>
  </si>
  <si>
    <t xml:space="preserve">53403000.0</t>
  </si>
  <si>
    <t xml:space="preserve">11396000.0</t>
  </si>
  <si>
    <t xml:space="preserve">22853000.0</t>
  </si>
  <si>
    <t xml:space="preserve">51042000.0</t>
  </si>
  <si>
    <t xml:space="preserve">94803000.0</t>
  </si>
  <si>
    <t xml:space="preserve">  Frozen Frontier  </t>
  </si>
  <si>
    <t xml:space="preserve">20942000.0</t>
  </si>
  <si>
    <t xml:space="preserve">30093000.0</t>
  </si>
  <si>
    <t xml:space="preserve">8186000.0</t>
  </si>
  <si>
    <t xml:space="preserve">14078000.0</t>
  </si>
  <si>
    <t xml:space="preserve">26135000.0</t>
  </si>
  <si>
    <t xml:space="preserve">102184000.0</t>
  </si>
  <si>
    <t xml:space="preserve">63024000.0</t>
  </si>
  <si>
    <t xml:space="preserve">103590000.0</t>
  </si>
  <si>
    <t xml:space="preserve">4181000.0</t>
  </si>
  <si>
    <t xml:space="preserve">33717000.0</t>
  </si>
  <si>
    <t xml:space="preserve">107030000.0</t>
  </si>
  <si>
    <t xml:space="preserve">25456000.0</t>
  </si>
  <si>
    <t xml:space="preserve">50388000.0</t>
  </si>
  <si>
    <t xml:space="preserve">27788000.0</t>
  </si>
  <si>
    <t xml:space="preserve">19321000.0</t>
  </si>
  <si>
    <t xml:space="preserve">43658000.0</t>
  </si>
  <si>
    <t xml:space="preserve">SILVER SYMPHONY RISING</t>
  </si>
  <si>
    <t xml:space="preserve">13817000.0</t>
  </si>
  <si>
    <t xml:space="preserve">28794000.0</t>
  </si>
  <si>
    <t xml:space="preserve">96916000.0</t>
  </si>
  <si>
    <t xml:space="preserve">302672000.0</t>
  </si>
  <si>
    <t xml:space="preserve">SACRED EMPIRE</t>
  </si>
  <si>
    <t xml:space="preserve">43425000.0</t>
  </si>
  <si>
    <t xml:space="preserve">44658000.0</t>
  </si>
  <si>
    <t xml:space="preserve">94112000.0</t>
  </si>
  <si>
    <t xml:space="preserve">257160000.0</t>
  </si>
  <si>
    <t xml:space="preserve">  Fractured Whisper  </t>
  </si>
  <si>
    <t xml:space="preserve">17095000.0</t>
  </si>
  <si>
    <t xml:space="preserve">47909000.0</t>
  </si>
  <si>
    <t xml:space="preserve">34540000.0</t>
  </si>
  <si>
    <t xml:space="preserve">134034000.0</t>
  </si>
  <si>
    <t xml:space="preserve">13682000.0</t>
  </si>
  <si>
    <t xml:space="preserve">43209000.0</t>
  </si>
  <si>
    <t xml:space="preserve">8777000.0</t>
  </si>
  <si>
    <t xml:space="preserve">18894000.0</t>
  </si>
  <si>
    <t xml:space="preserve">CRIMSON LEGACY</t>
  </si>
  <si>
    <t xml:space="preserve">Endless Odyssey II</t>
  </si>
  <si>
    <t xml:space="preserve">5219000.0</t>
  </si>
  <si>
    <t xml:space="preserve">21334000.0</t>
  </si>
  <si>
    <t xml:space="preserve">24791000.0</t>
  </si>
  <si>
    <t xml:space="preserve">66195000.0</t>
  </si>
  <si>
    <t xml:space="preserve">56732000.0</t>
  </si>
  <si>
    <t xml:space="preserve">117339000.0</t>
  </si>
  <si>
    <t xml:space="preserve">  Midnight Signal  </t>
  </si>
  <si>
    <t xml:space="preserve">113870000.0</t>
  </si>
  <si>
    <t xml:space="preserve">81772000.0</t>
  </si>
  <si>
    <t xml:space="preserve">5687000.0</t>
  </si>
  <si>
    <t xml:space="preserve">4072000.0</t>
  </si>
  <si>
    <t xml:space="preserve">125876000.0</t>
  </si>
  <si>
    <t xml:space="preserve">800043000.0</t>
  </si>
  <si>
    <t xml:space="preserve">59515000.0</t>
  </si>
  <si>
    <t xml:space="preserve">50696000.0</t>
  </si>
  <si>
    <t xml:space="preserve">Sacred Paradox II</t>
  </si>
  <si>
    <t xml:space="preserve">10223000.0</t>
  </si>
  <si>
    <t xml:space="preserve">41419000.0</t>
  </si>
  <si>
    <t xml:space="preserve">116909000.0</t>
  </si>
  <si>
    <t xml:space="preserve">357549000.0</t>
  </si>
  <si>
    <t xml:space="preserve">64277000.0</t>
  </si>
  <si>
    <t xml:space="preserve">111272000.0</t>
  </si>
  <si>
    <t xml:space="preserve">107275000.0</t>
  </si>
  <si>
    <t xml:space="preserve">313923000.0</t>
  </si>
  <si>
    <t xml:space="preserve">$33,277,000</t>
  </si>
  <si>
    <t xml:space="preserve">67196000.0</t>
  </si>
  <si>
    <t xml:space="preserve">1661000.0</t>
  </si>
  <si>
    <t xml:space="preserve">5977000.0</t>
  </si>
  <si>
    <t xml:space="preserve">36212000.0</t>
  </si>
  <si>
    <t xml:space="preserve">120025000.0</t>
  </si>
  <si>
    <t xml:space="preserve">$1,205,730,000</t>
  </si>
  <si>
    <t xml:space="preserve">30570000.0</t>
  </si>
  <si>
    <t xml:space="preserve">136285000.0</t>
  </si>
  <si>
    <t xml:space="preserve">32910000.0</t>
  </si>
  <si>
    <t xml:space="preserve">$42,829,000</t>
  </si>
  <si>
    <t xml:space="preserve">Crimson Odyssey II</t>
  </si>
  <si>
    <t xml:space="preserve">25773000.0</t>
  </si>
  <si>
    <t xml:space="preserve">8626000.0</t>
  </si>
  <si>
    <t xml:space="preserve">29557000.0</t>
  </si>
  <si>
    <t xml:space="preserve">52798000.0</t>
  </si>
  <si>
    <t xml:space="preserve">$442,776,000</t>
  </si>
  <si>
    <t xml:space="preserve">  Shadow Echoes III  </t>
  </si>
  <si>
    <t xml:space="preserve">32132000.0</t>
  </si>
  <si>
    <t xml:space="preserve">31035000.0</t>
  </si>
  <si>
    <t xml:space="preserve">  Last Odyssey  </t>
  </si>
  <si>
    <t xml:space="preserve">$68,381,000</t>
  </si>
  <si>
    <t xml:space="preserve">233954000.0</t>
  </si>
  <si>
    <t xml:space="preserve">39209000.0</t>
  </si>
  <si>
    <t xml:space="preserve">154666000.0</t>
  </si>
  <si>
    <t xml:space="preserve">82476000.0</t>
  </si>
  <si>
    <t xml:space="preserve">111008000.0</t>
  </si>
  <si>
    <t xml:space="preserve">$71,396,000</t>
  </si>
  <si>
    <t xml:space="preserve">80937000.0</t>
  </si>
  <si>
    <t xml:space="preserve">9056000.0</t>
  </si>
  <si>
    <t xml:space="preserve">14641000.0</t>
  </si>
  <si>
    <t xml:space="preserve">26762000.0</t>
  </si>
  <si>
    <t xml:space="preserve">33176000.0</t>
  </si>
  <si>
    <t xml:space="preserve">55258000.0</t>
  </si>
  <si>
    <t xml:space="preserve">155959000.0</t>
  </si>
  <si>
    <t xml:space="preserve">Fractured Horizon II</t>
  </si>
  <si>
    <t xml:space="preserve">15291000.0</t>
  </si>
  <si>
    <t xml:space="preserve">21023000.0</t>
  </si>
  <si>
    <t xml:space="preserve">30195000.0</t>
  </si>
  <si>
    <t xml:space="preserve">56616000.0</t>
  </si>
  <si>
    <t xml:space="preserve">2599000.0</t>
  </si>
  <si>
    <t xml:space="preserve">5059000.0</t>
  </si>
  <si>
    <t xml:space="preserve">Silent Voyage II</t>
  </si>
  <si>
    <t xml:space="preserve">5455000.0</t>
  </si>
  <si>
    <t xml:space="preserve">33499000.0</t>
  </si>
  <si>
    <t xml:space="preserve">25908000.0</t>
  </si>
  <si>
    <t xml:space="preserve">71844000.0</t>
  </si>
  <si>
    <t xml:space="preserve">romance</t>
  </si>
  <si>
    <t xml:space="preserve">37064000.0</t>
  </si>
  <si>
    <t xml:space="preserve">23247000.0</t>
  </si>
  <si>
    <t xml:space="preserve">102711000.0</t>
  </si>
  <si>
    <t xml:space="preserve">$87,435,000</t>
  </si>
  <si>
    <t xml:space="preserve">55316000.0</t>
  </si>
  <si>
    <t xml:space="preserve">266281000.0</t>
  </si>
  <si>
    <t xml:space="preserve">  Fractured Frontier III  </t>
  </si>
  <si>
    <t xml:space="preserve">39878000.0</t>
  </si>
  <si>
    <t xml:space="preserve">103250000.0</t>
  </si>
  <si>
    <t xml:space="preserve">37423000.0</t>
  </si>
  <si>
    <t xml:space="preserve">239629000.0</t>
  </si>
  <si>
    <t xml:space="preserve">27356000.0</t>
  </si>
  <si>
    <t xml:space="preserve">115416000.0</t>
  </si>
  <si>
    <t xml:space="preserve">81570000.0</t>
  </si>
  <si>
    <t xml:space="preserve">170302000.0</t>
  </si>
  <si>
    <t xml:space="preserve">RISING HORIZON</t>
  </si>
  <si>
    <t xml:space="preserve">$87,577,000</t>
  </si>
  <si>
    <t xml:space="preserve">134090000.0</t>
  </si>
  <si>
    <t xml:space="preserve">21367000.0</t>
  </si>
  <si>
    <t xml:space="preserve">46204000.0</t>
  </si>
  <si>
    <t xml:space="preserve">24942000.0</t>
  </si>
  <si>
    <t xml:space="preserve">52833000.0</t>
  </si>
  <si>
    <t xml:space="preserve">109104000.0</t>
  </si>
  <si>
    <t xml:space="preserve">175828000.0</t>
  </si>
  <si>
    <t xml:space="preserve">10920000.0</t>
  </si>
  <si>
    <t xml:space="preserve">31600000.0</t>
  </si>
  <si>
    <t xml:space="preserve">15862000.0</t>
  </si>
  <si>
    <t xml:space="preserve">104632000.0</t>
  </si>
  <si>
    <t xml:space="preserve">65236000.0</t>
  </si>
  <si>
    <t xml:space="preserve">128070000.0</t>
  </si>
  <si>
    <t xml:space="preserve">18730000.0</t>
  </si>
  <si>
    <t xml:space="preserve">163835000.0</t>
  </si>
  <si>
    <t xml:space="preserve">5987000.0</t>
  </si>
  <si>
    <t xml:space="preserve">16759000.0</t>
  </si>
  <si>
    <t xml:space="preserve">19861000.0</t>
  </si>
  <si>
    <t xml:space="preserve">23274000.0</t>
  </si>
  <si>
    <t xml:space="preserve">98881000.0</t>
  </si>
  <si>
    <t xml:space="preserve">73855000.0</t>
  </si>
  <si>
    <t xml:space="preserve">20281000.0</t>
  </si>
  <si>
    <t xml:space="preserve">106904000.0</t>
  </si>
  <si>
    <t xml:space="preserve">$16,194,000</t>
  </si>
  <si>
    <t xml:space="preserve">26167000.0</t>
  </si>
  <si>
    <t xml:space="preserve">138672000.0</t>
  </si>
  <si>
    <t xml:space="preserve">208490000.0</t>
  </si>
  <si>
    <t xml:space="preserve">15078000.0</t>
  </si>
  <si>
    <t xml:space="preserve">102587000.0</t>
  </si>
  <si>
    <t xml:space="preserve">94055000.0</t>
  </si>
  <si>
    <t xml:space="preserve">$98,308,000</t>
  </si>
  <si>
    <t xml:space="preserve">3911000.0</t>
  </si>
  <si>
    <t xml:space="preserve">10397000.0</t>
  </si>
  <si>
    <t xml:space="preserve">192586000.0</t>
  </si>
  <si>
    <t xml:space="preserve">128183000.0</t>
  </si>
  <si>
    <t xml:space="preserve">26736000.0</t>
  </si>
  <si>
    <t xml:space="preserve">$44,429,000</t>
  </si>
  <si>
    <t xml:space="preserve">$119,869,000</t>
  </si>
  <si>
    <t xml:space="preserve">267631000.0</t>
  </si>
  <si>
    <t xml:space="preserve">44953000.0</t>
  </si>
  <si>
    <t xml:space="preserve">46700000.0</t>
  </si>
  <si>
    <t xml:space="preserve">52088000.0</t>
  </si>
  <si>
    <t xml:space="preserve">  Endless Harbor  </t>
  </si>
  <si>
    <t xml:space="preserve">7093000.0</t>
  </si>
  <si>
    <t xml:space="preserve">146527000.0</t>
  </si>
  <si>
    <t xml:space="preserve">362988000.0</t>
  </si>
  <si>
    <t xml:space="preserve">1000000.0</t>
  </si>
  <si>
    <t xml:space="preserve">$5,281,000</t>
  </si>
  <si>
    <t xml:space="preserve">$1,408,000</t>
  </si>
  <si>
    <t xml:space="preserve">15690000.0</t>
  </si>
  <si>
    <t xml:space="preserve">23135000.0</t>
  </si>
  <si>
    <t xml:space="preserve">22546000.0</t>
  </si>
  <si>
    <t xml:space="preserve">32719000.0</t>
  </si>
  <si>
    <t xml:space="preserve">92290000.0</t>
  </si>
  <si>
    <t xml:space="preserve">221861000.0</t>
  </si>
  <si>
    <t xml:space="preserve">29778000.0</t>
  </si>
  <si>
    <t xml:space="preserve">59842000.0</t>
  </si>
  <si>
    <t xml:space="preserve">94554000.0</t>
  </si>
  <si>
    <t xml:space="preserve">150397000.0</t>
  </si>
  <si>
    <t xml:space="preserve">3596000.0</t>
  </si>
  <si>
    <t xml:space="preserve">7032000.0</t>
  </si>
  <si>
    <t xml:space="preserve">8809000.0</t>
  </si>
  <si>
    <t xml:space="preserve">16940000.0</t>
  </si>
  <si>
    <t xml:space="preserve">5273000.0</t>
  </si>
  <si>
    <t xml:space="preserve">5296000.0</t>
  </si>
  <si>
    <t xml:space="preserve">36367000.0</t>
  </si>
  <si>
    <t xml:space="preserve">52069000.0</t>
  </si>
  <si>
    <t xml:space="preserve">5795000.0</t>
  </si>
  <si>
    <t xml:space="preserve">34863000.0</t>
  </si>
  <si>
    <t xml:space="preserve">104884000.0</t>
  </si>
  <si>
    <t xml:space="preserve">959689000.0</t>
  </si>
  <si>
    <t xml:space="preserve">37330000.0</t>
  </si>
  <si>
    <t xml:space="preserve">129609000.0</t>
  </si>
  <si>
    <t xml:space="preserve">78278000.0</t>
  </si>
  <si>
    <t xml:space="preserve">210985000.0</t>
  </si>
  <si>
    <t xml:space="preserve">Golden Horizon II</t>
  </si>
  <si>
    <t xml:space="preserve">43385000.0</t>
  </si>
  <si>
    <t xml:space="preserve">79493000.0</t>
  </si>
  <si>
    <t xml:space="preserve">6120000.0</t>
  </si>
  <si>
    <t xml:space="preserve">32074000.0</t>
  </si>
  <si>
    <t xml:space="preserve">3955000.0</t>
  </si>
  <si>
    <t xml:space="preserve">20271000.0</t>
  </si>
  <si>
    <t xml:space="preserve">MOVIE BOX OFFICE ANALYTICS</t>
  </si>
  <si>
    <t xml:space="preserve">Interactive Excel Dashboard  |  Project Walkthrough &amp; Interview Guide</t>
  </si>
  <si>
    <t xml:space="preserve">PROJECT OVERVIEW</t>
  </si>
  <si>
    <t xml:space="preserve">Goal</t>
  </si>
  <si>
    <t xml:space="preserve">Turn a raw, messy movie box-office dataset into a clean analytical model and an interactive, presentation-ready dashboard covering revenue, ratings, genres, directors and languages.</t>
  </si>
  <si>
    <t xml:space="preserve">Dataset</t>
  </si>
  <si>
    <t xml:space="preserve">222 cleaned movie records (from 238 raw records) with Title, Genre, Director, Release Year, Budget, Revenue, IMDb Rating, Runtime, Language, Production Company and Country. This is an illustrative sample dataset built to mirror the shape of a real box-office dataset (e.g. Kaggle 'IMDb Movies' / 'TMDb' style data).</t>
  </si>
  <si>
    <t xml:space="preserve">WORKBOOK STRUCTURE</t>
  </si>
  <si>
    <t xml:space="preserve">Dashboard</t>
  </si>
  <si>
    <t xml:space="preserve">The main interactive view: KPI cards, 6 charts and a genre/year slicer-style filter panel.</t>
  </si>
  <si>
    <t xml:space="preserve">Pivot Tables</t>
  </si>
  <si>
    <t xml:space="preserve">Formula-driven summary tables (the 'pivot' calculation engine) that feed every chart on the Dashboard.</t>
  </si>
  <si>
    <t xml:space="preserve">Cleaned Data</t>
  </si>
  <si>
    <t xml:space="preserve">The clean dataset as a formatted native Excel Table, with conditional formatting and derived Profit / ROI columns.</t>
  </si>
  <si>
    <t xml:space="preserve">Raw Data</t>
  </si>
  <si>
    <t xml:space="preserve">The original, unprocessed data — duplicates, blanks and inconsistent formatting left intact so you can show the 'before'.</t>
  </si>
  <si>
    <t xml:space="preserve">DATA CLEANING STEPS PERFORMED</t>
  </si>
  <si>
    <t xml:space="preserve">1. Duplicates</t>
  </si>
  <si>
    <t xml:space="preserve">16 duplicate records removed (exact + case-insensitive Title+Year+Director matches).</t>
  </si>
  <si>
    <t xml:space="preserve">2. Missing values</t>
  </si>
  <si>
    <t xml:space="preserve">Numeric fields (Budget, Revenue, IMDb Rating, Runtime) filled with the median for that movie's Genre. Text fields (Director, Language, Production Company, Country) filled with 'Unknown' rather than dropped, to preserve every row.</t>
  </si>
  <si>
    <t xml:space="preserve">3. Formatting</t>
  </si>
  <si>
    <t xml:space="preserve">Trimmed stray whitespace, standardized text case (Title Case for names/genres), converted Budget/Revenue stored as '$123,000,000' text back into numbers, and normalized Release Year to a clean integer.</t>
  </si>
  <si>
    <t xml:space="preserve">4. Derived fields</t>
  </si>
  <si>
    <t xml:space="preserve">Added Profit (Revenue - Budget) and ROI % ((Profit / Budget) x 100) to support financial analysis.</t>
  </si>
  <si>
    <t xml:space="preserve">HOW TO TALK ABOUT THIS IN AN INTERVIEW</t>
  </si>
  <si>
    <t xml:space="preserve">Data cleaning story</t>
  </si>
  <si>
    <t xml:space="preserve">"I started from a raw export with duplicates, missing fields and inconsistent formats. I deduplicated on a composite key, imputed numeric gaps using genre-level medians instead of the overall mean (to avoid skew from blockbusters), and standardized text formatting so grouping/pivoting would work reliably."</t>
  </si>
  <si>
    <t xml:space="preserve">Why genre-median imputation</t>
  </si>
  <si>
    <t xml:space="preserve">"A flat mean would understate horror-film budgets and overstate documentary budgets. Imputing within genre keeps the fill values realistic for that category."</t>
  </si>
  <si>
    <t xml:space="preserve">Why formulas, not hard-coded numbers</t>
  </si>
  <si>
    <t xml:space="preserve">"Every KPI and chart is driven by SUMIFS/COUNTIFS/AVERAGEIFS formulas against the Cleaned Data table, so the whole dashboard recalculates automatically if the underlying data changes — nothing is pasted as a static value."</t>
  </si>
  <si>
    <t xml:space="preserve">Interactivity</t>
  </si>
  <si>
    <t xml:space="preserve">"The Cleaned Data range is a native Excel Table, so it already supports one-click filtering. To add true clickable Slicers, select any cell in Cleaned Data, Insert &gt; PivotTable, then Insert &gt; Slicer on Genre / Release Year / Language — the sheet is structured so that takes under a minute."</t>
  </si>
  <si>
    <t xml:space="preserve">Design choices</t>
  </si>
  <si>
    <t xml:space="preserve">"I used a dark, cinema-inspired theme (navy background, gold accents echoing the IMDb rating star) so the dashboard reads like a studio analytics tool rather than a generic spreadsheet, and used conditional formatting (data bars, color scales) so patterns are visible without reading every number."</t>
  </si>
</sst>
</file>

<file path=xl/styles.xml><?xml version="1.0" encoding="utf-8"?>
<styleSheet xmlns="http://schemas.openxmlformats.org/spreadsheetml/2006/main">
  <numFmts count="8">
    <numFmt numFmtId="164" formatCode="General"/>
    <numFmt numFmtId="165" formatCode="0"/>
    <numFmt numFmtId="166" formatCode="\$#,##0,,\M"/>
    <numFmt numFmtId="167" formatCode="0.00"/>
    <numFmt numFmtId="168" formatCode="0.0"/>
    <numFmt numFmtId="169" formatCode="\$#,##0"/>
    <numFmt numFmtId="170" formatCode="0.0%"/>
    <numFmt numFmtId="171" formatCode="0.0\%"/>
  </numFmts>
  <fonts count="28">
    <font>
      <sz val="11"/>
      <color theme="1"/>
      <name val="Calibri"/>
      <family val="2"/>
      <charset val="1"/>
    </font>
    <font>
      <sz val="10"/>
      <name val="Arial"/>
      <family val="0"/>
    </font>
    <font>
      <sz val="10"/>
      <name val="Arial"/>
      <family val="0"/>
    </font>
    <font>
      <sz val="10"/>
      <name val="Arial"/>
      <family val="0"/>
    </font>
    <font>
      <b val="true"/>
      <sz val="22"/>
      <color rgb="FFF5C518"/>
      <name val="Arial"/>
      <family val="0"/>
      <charset val="1"/>
    </font>
    <font>
      <i val="true"/>
      <sz val="10"/>
      <color rgb="FF8A8FA3"/>
      <name val="Arial"/>
      <family val="0"/>
      <charset val="1"/>
    </font>
    <font>
      <b val="true"/>
      <sz val="10"/>
      <color rgb="FF8A8FA3"/>
      <name val="Arial"/>
      <family val="0"/>
      <charset val="1"/>
    </font>
    <font>
      <b val="true"/>
      <sz val="26"/>
      <color rgb="FFF5C518"/>
      <name val="Arial"/>
      <family val="0"/>
      <charset val="1"/>
    </font>
    <font>
      <b val="true"/>
      <sz val="13"/>
      <color rgb="FFF5C518"/>
      <name val="Calibri"/>
      <family val="2"/>
    </font>
    <font>
      <sz val="9"/>
      <color rgb="FF8A8FA3"/>
      <name val="Calibri"/>
      <family val="2"/>
    </font>
    <font>
      <sz val="8.5"/>
      <color rgb="FFF1F1F1"/>
      <name val="Calibri"/>
      <family val="2"/>
    </font>
    <font>
      <b val="true"/>
      <sz val="8"/>
      <color rgb="FF0D1321"/>
      <name val="Calibri"/>
      <family val="2"/>
    </font>
    <font>
      <b val="true"/>
      <sz val="13"/>
      <color rgb="FFF5C518"/>
      <name val="Arial"/>
      <family val="0"/>
      <charset val="1"/>
    </font>
    <font>
      <b val="true"/>
      <sz val="11"/>
      <color rgb="FF0D1321"/>
      <name val="Arial"/>
      <family val="0"/>
      <charset val="1"/>
    </font>
    <font>
      <sz val="10"/>
      <color rgb="FFF1F1F1"/>
      <name val="Arial"/>
      <family val="0"/>
      <charset val="1"/>
    </font>
    <font>
      <sz val="9"/>
      <color rgb="FFF1F1F1"/>
      <name val="Arial"/>
      <family val="0"/>
      <charset val="1"/>
    </font>
    <font>
      <b val="true"/>
      <sz val="10"/>
      <color rgb="FFF1F1F1"/>
      <name val="Arial"/>
      <family val="0"/>
      <charset val="1"/>
    </font>
    <font>
      <b val="true"/>
      <sz val="13"/>
      <color rgb="FF0D1321"/>
      <name val="Arial"/>
      <family val="0"/>
      <charset val="1"/>
    </font>
    <font>
      <i val="true"/>
      <sz val="9"/>
      <color rgb="FF555555"/>
      <name val="Arial"/>
      <family val="0"/>
      <charset val="1"/>
    </font>
    <font>
      <b val="true"/>
      <sz val="10"/>
      <color rgb="FF0D1321"/>
      <name val="Arial"/>
      <family val="0"/>
      <charset val="1"/>
    </font>
    <font>
      <b val="true"/>
      <sz val="9"/>
      <color rgb="FFFFFFFF"/>
      <name val="Arial"/>
      <family val="0"/>
      <charset val="1"/>
    </font>
    <font>
      <sz val="9"/>
      <color rgb="FF1A1A1A"/>
      <name val="Arial"/>
      <family val="0"/>
      <charset val="1"/>
    </font>
    <font>
      <sz val="8"/>
      <color rgb="FF999999"/>
      <name val="Arial"/>
      <family val="0"/>
      <charset val="1"/>
    </font>
    <font>
      <b val="true"/>
      <sz val="10"/>
      <color rgb="FFFFFFFF"/>
      <name val="Arial"/>
      <family val="0"/>
      <charset val="1"/>
    </font>
    <font>
      <sz val="9"/>
      <color rgb="FF222222"/>
      <name val="Arial"/>
      <family val="0"/>
      <charset val="1"/>
    </font>
    <font>
      <b val="true"/>
      <sz val="24"/>
      <color rgb="FFF5C518"/>
      <name val="Arial"/>
      <family val="0"/>
      <charset val="1"/>
    </font>
    <font>
      <i val="true"/>
      <sz val="12"/>
      <color rgb="FFF1F1F1"/>
      <name val="Arial"/>
      <family val="0"/>
      <charset val="1"/>
    </font>
    <font>
      <b val="true"/>
      <sz val="10"/>
      <color rgb="FFC9971B"/>
      <name val="Arial"/>
      <family val="0"/>
      <charset val="1"/>
    </font>
  </fonts>
  <fills count="9">
    <fill>
      <patternFill patternType="none"/>
    </fill>
    <fill>
      <patternFill patternType="gray125"/>
    </fill>
    <fill>
      <patternFill patternType="solid">
        <fgColor rgb="FF0D1321"/>
        <bgColor rgb="FF141B2D"/>
      </patternFill>
    </fill>
    <fill>
      <patternFill patternType="solid">
        <fgColor rgb="FF1B2438"/>
        <bgColor rgb="FF222222"/>
      </patternFill>
    </fill>
    <fill>
      <patternFill patternType="solid">
        <fgColor rgb="FF141B2D"/>
        <bgColor rgb="FF1A1A1A"/>
      </patternFill>
    </fill>
    <fill>
      <patternFill patternType="solid">
        <fgColor rgb="FFF5C518"/>
        <bgColor rgb="FFFFD166"/>
      </patternFill>
    </fill>
    <fill>
      <patternFill patternType="solid">
        <fgColor rgb="FF555555"/>
        <bgColor rgb="FF3A3F52"/>
      </patternFill>
    </fill>
    <fill>
      <patternFill patternType="solid">
        <fgColor rgb="FF3A3F52"/>
        <bgColor rgb="FF2A3350"/>
      </patternFill>
    </fill>
    <fill>
      <patternFill patternType="solid">
        <fgColor rgb="FFFFD6D6"/>
        <bgColor rgb="FFFFCFCF"/>
      </patternFill>
    </fill>
  </fills>
  <borders count="2">
    <border diagonalUp="false" diagonalDown="false">
      <left/>
      <right/>
      <top/>
      <bottom/>
      <diagonal/>
    </border>
    <border diagonalUp="false" diagonalDown="false">
      <left/>
      <right/>
      <top style="thick">
        <color rgb="FFF5C518"/>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left" vertical="center" textRotation="0" wrapText="false" indent="0" shrinkToFit="false"/>
      <protection locked="true" hidden="false"/>
    </xf>
    <xf numFmtId="164" fontId="5" fillId="2" borderId="0" xfId="0" applyFont="true" applyBorder="true" applyAlignment="true" applyProtection="true">
      <alignment horizontal="general" vertical="bottom" textRotation="0" wrapText="false" indent="0" shrinkToFit="false"/>
      <protection locked="true" hidden="false"/>
    </xf>
    <xf numFmtId="164" fontId="6" fillId="3" borderId="1" xfId="0" applyFont="true" applyBorder="true" applyAlignment="true" applyProtection="true">
      <alignment horizontal="center" vertical="center" textRotation="0" wrapText="false" indent="0" shrinkToFit="false"/>
      <protection locked="true" hidden="false"/>
    </xf>
    <xf numFmtId="165" fontId="7" fillId="3" borderId="0" xfId="0" applyFont="true" applyBorder="true" applyAlignment="true" applyProtection="true">
      <alignment horizontal="center" vertical="center" textRotation="0" wrapText="false" indent="0" shrinkToFit="false"/>
      <protection locked="true" hidden="false"/>
    </xf>
    <xf numFmtId="166" fontId="7" fillId="3" borderId="0" xfId="0" applyFont="true" applyBorder="true" applyAlignment="true" applyProtection="true">
      <alignment horizontal="center" vertical="center" textRotation="0" wrapText="false" indent="0" shrinkToFit="false"/>
      <protection locked="true" hidden="false"/>
    </xf>
    <xf numFmtId="167" fontId="7" fillId="3" borderId="0" xfId="0" applyFont="true" applyBorder="true" applyAlignment="true" applyProtection="true">
      <alignment horizontal="center" vertical="center" textRotation="0" wrapText="false" indent="0" shrinkToFit="false"/>
      <protection locked="true" hidden="false"/>
    </xf>
    <xf numFmtId="168" fontId="7" fillId="3" borderId="0" xfId="0" applyFont="true" applyBorder="true" applyAlignment="true" applyProtection="true">
      <alignment horizontal="center" vertical="center" textRotation="0" wrapText="false" indent="0" shrinkToFit="false"/>
      <protection locked="true" hidden="false"/>
    </xf>
    <xf numFmtId="164" fontId="12" fillId="4" borderId="0" xfId="0" applyFont="true" applyBorder="tru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13" fillId="5" borderId="0" xfId="0" applyFont="true" applyBorder="false" applyAlignment="true" applyProtection="true">
      <alignment horizontal="center" vertical="center" textRotation="0" wrapText="false" indent="0" shrinkToFit="false"/>
      <protection locked="true" hidden="false"/>
    </xf>
    <xf numFmtId="164" fontId="14" fillId="4" borderId="0" xfId="0" applyFont="true" applyBorder="false" applyAlignment="true" applyProtection="true">
      <alignment horizontal="general" vertical="bottom" textRotation="0" wrapText="false" indent="0" shrinkToFit="false"/>
      <protection locked="true" hidden="false"/>
    </xf>
    <xf numFmtId="169" fontId="14" fillId="4" borderId="0" xfId="0" applyFont="true" applyBorder="false" applyAlignment="true" applyProtection="true">
      <alignment horizontal="general" vertical="bottom" textRotation="0" wrapText="false" indent="0" shrinkToFit="false"/>
      <protection locked="true" hidden="false"/>
    </xf>
    <xf numFmtId="168" fontId="14" fillId="4" borderId="0" xfId="0" applyFont="true" applyBorder="false" applyAlignment="true" applyProtection="true">
      <alignment horizontal="general" vertical="bottom" textRotation="0" wrapText="false" indent="0" shrinkToFit="false"/>
      <protection locked="true" hidden="false"/>
    </xf>
    <xf numFmtId="170" fontId="14" fillId="4" borderId="0" xfId="0" applyFont="true" applyBorder="false" applyAlignment="true" applyProtection="true">
      <alignment horizontal="general" vertical="bottom" textRotation="0" wrapText="false" indent="0" shrinkToFit="false"/>
      <protection locked="true" hidden="false"/>
    </xf>
    <xf numFmtId="164" fontId="15" fillId="4" borderId="0" xfId="0" applyFont="true" applyBorder="false" applyAlignment="true" applyProtection="true">
      <alignment horizontal="general" vertical="bottom" textRotation="0" wrapText="false" indent="0" shrinkToFit="false"/>
      <protection locked="true" hidden="false"/>
    </xf>
    <xf numFmtId="169" fontId="15" fillId="4" borderId="0" xfId="0" applyFont="true" applyBorder="false" applyAlignment="true" applyProtection="true">
      <alignment horizontal="general" vertical="bottom" textRotation="0" wrapText="false" indent="0" shrinkToFit="false"/>
      <protection locked="true" hidden="false"/>
    </xf>
    <xf numFmtId="164" fontId="16" fillId="4" borderId="0" xfId="0" applyFont="true" applyBorder="false" applyAlignment="true" applyProtection="true">
      <alignment horizontal="general" vertical="bottom" textRotation="0" wrapText="false" indent="0" shrinkToFit="false"/>
      <protection locked="true" hidden="false"/>
    </xf>
    <xf numFmtId="171" fontId="14" fillId="4"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true" applyAlignment="true" applyProtection="true">
      <alignment horizontal="general" vertical="bottom" textRotation="0" wrapText="false" indent="0" shrinkToFit="false"/>
      <protection locked="true" hidden="false"/>
    </xf>
    <xf numFmtId="164" fontId="18" fillId="0" borderId="0" xfId="0" applyFont="true" applyBorder="true" applyAlignment="true" applyProtection="true">
      <alignment horizontal="general" vertical="bottom" textRotation="0" wrapText="false" indent="0" shrinkToFit="false"/>
      <protection locked="true" hidden="false"/>
    </xf>
    <xf numFmtId="164" fontId="19" fillId="5" borderId="0" xfId="0" applyFont="true" applyBorder="false" applyAlignment="true" applyProtection="true">
      <alignment horizontal="center" vertical="center" textRotation="0" wrapText="false" indent="0" shrinkToFit="false"/>
      <protection locked="true" hidden="false"/>
    </xf>
    <xf numFmtId="164" fontId="20" fillId="6" borderId="0" xfId="0" applyFont="true" applyBorder="fals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general" vertical="bottom" textRotation="0" wrapText="false" indent="0" shrinkToFit="false"/>
      <protection locked="true" hidden="false"/>
    </xf>
    <xf numFmtId="169" fontId="21" fillId="0" borderId="0" xfId="0" applyFont="true" applyBorder="false" applyAlignment="true" applyProtection="true">
      <alignment horizontal="general" vertical="bottom" textRotation="0" wrapText="false" indent="0" shrinkToFit="false"/>
      <protection locked="true" hidden="false"/>
    </xf>
    <xf numFmtId="168" fontId="21" fillId="0" borderId="0" xfId="0" applyFont="true" applyBorder="false" applyAlignment="true" applyProtection="true">
      <alignment horizontal="general" vertical="bottom" textRotation="0" wrapText="false" indent="0" shrinkToFit="false"/>
      <protection locked="true" hidden="false"/>
    </xf>
    <xf numFmtId="171" fontId="21" fillId="0" borderId="0" xfId="0" applyFont="true" applyBorder="false" applyAlignment="true" applyProtection="true">
      <alignment horizontal="general" vertical="bottom" textRotation="0" wrapText="false" indent="0" shrinkToFit="false"/>
      <protection locked="true" hidden="false"/>
    </xf>
    <xf numFmtId="169" fontId="22" fillId="0" borderId="0" xfId="0" applyFont="true" applyBorder="false" applyAlignment="true" applyProtection="true">
      <alignment horizontal="general" vertical="bottom" textRotation="0" wrapText="false" indent="0" shrinkToFit="false"/>
      <protection locked="true" hidden="false"/>
    </xf>
    <xf numFmtId="164" fontId="23" fillId="7" borderId="0" xfId="0" applyFont="true" applyBorder="false" applyAlignment="true" applyProtection="true">
      <alignment horizontal="center" vertical="center"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24" fillId="8" borderId="0" xfId="0" applyFont="true" applyBorder="false" applyAlignment="true" applyProtection="true">
      <alignment horizontal="general" vertical="bottom" textRotation="0" wrapText="false" indent="0" shrinkToFit="false"/>
      <protection locked="true" hidden="false"/>
    </xf>
    <xf numFmtId="164" fontId="25" fillId="2" borderId="0" xfId="0" applyFont="true" applyBorder="false" applyAlignment="true" applyProtection="true">
      <alignment horizontal="general" vertical="bottom" textRotation="0" wrapText="false" indent="0" shrinkToFit="false"/>
      <protection locked="true" hidden="false"/>
    </xf>
    <xf numFmtId="164" fontId="26" fillId="2" borderId="0" xfId="0" applyFont="true" applyBorder="false" applyAlignment="true" applyProtection="true">
      <alignment horizontal="general" vertical="bottom" textRotation="0" wrapText="false" indent="0" shrinkToFit="false"/>
      <protection locked="true" hidden="false"/>
    </xf>
    <xf numFmtId="164" fontId="12" fillId="2" borderId="0" xfId="0" applyFont="true" applyBorder="false" applyAlignment="true" applyProtection="true">
      <alignment horizontal="general" vertical="bottom" textRotation="0" wrapText="false" indent="0" shrinkToFit="false"/>
      <protection locked="true" hidden="false"/>
    </xf>
    <xf numFmtId="164" fontId="27" fillId="2" borderId="0" xfId="0" applyFont="true" applyBorder="false" applyAlignment="true" applyProtection="true">
      <alignment horizontal="general" vertical="top" textRotation="0" wrapText="true" indent="0" shrinkToFit="false"/>
      <protection locked="true" hidden="false"/>
    </xf>
    <xf numFmtId="164" fontId="14" fillId="2" borderId="0" xfId="0" applyFont="tru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9">
    <dxf>
      <fill>
        <patternFill patternType="solid">
          <fgColor rgb="FFF5C518"/>
          <bgColor rgb="FF000000"/>
        </patternFill>
      </fill>
    </dxf>
    <dxf>
      <fill>
        <patternFill patternType="solid">
          <bgColor rgb="FF000000"/>
        </patternFill>
      </fill>
    </dxf>
    <dxf>
      <fill>
        <patternFill patternType="solid">
          <fgColor rgb="FF0D1321"/>
          <bgColor rgb="FF000000"/>
        </patternFill>
      </fill>
    </dxf>
    <dxf>
      <fill>
        <patternFill patternType="solid">
          <fgColor rgb="FF1A1A1A"/>
          <bgColor rgb="FF000000"/>
        </patternFill>
      </fill>
    </dxf>
    <dxf>
      <fill>
        <patternFill patternType="solid">
          <fgColor rgb="FF2A9D8F"/>
          <bgColor rgb="FF000000"/>
        </patternFill>
      </fill>
    </dxf>
    <dxf>
      <fill>
        <patternFill patternType="solid">
          <fgColor rgb="FF38A086"/>
          <bgColor rgb="FF000000"/>
        </patternFill>
      </fill>
    </dxf>
    <dxf>
      <fill>
        <patternFill patternType="solid">
          <fgColor rgb="FF40A282"/>
          <bgColor rgb="FF000000"/>
        </patternFill>
      </fill>
    </dxf>
    <dxf>
      <fill>
        <patternFill patternType="solid">
          <fgColor rgb="FF4DA47A"/>
          <bgColor rgb="FF000000"/>
        </patternFill>
      </fill>
    </dxf>
    <dxf>
      <fill>
        <patternFill patternType="solid">
          <fgColor rgb="FF54A676"/>
          <bgColor rgb="FF000000"/>
        </patternFill>
      </fill>
    </dxf>
    <dxf>
      <fill>
        <patternFill patternType="solid">
          <fgColor rgb="FF69AA6A"/>
          <bgColor rgb="FF000000"/>
        </patternFill>
      </fill>
    </dxf>
    <dxf>
      <fill>
        <patternFill patternType="solid">
          <fgColor rgb="FF70AB65"/>
          <bgColor rgb="FF000000"/>
        </patternFill>
      </fill>
    </dxf>
    <dxf>
      <fill>
        <patternFill patternType="solid">
          <fgColor rgb="FF7EAE5D"/>
          <bgColor rgb="FF000000"/>
        </patternFill>
      </fill>
    </dxf>
    <dxf>
      <fill>
        <patternFill patternType="solid">
          <fgColor rgb="FF86AF59"/>
          <bgColor rgb="FF000000"/>
        </patternFill>
      </fill>
    </dxf>
    <dxf>
      <fill>
        <patternFill patternType="solid">
          <fgColor rgb="FF8DB155"/>
          <bgColor rgb="FF000000"/>
        </patternFill>
      </fill>
    </dxf>
    <dxf>
      <fill>
        <patternFill patternType="solid">
          <fgColor rgb="FF93B251"/>
          <bgColor rgb="FF000000"/>
        </patternFill>
      </fill>
    </dxf>
    <dxf>
      <fill>
        <patternFill patternType="solid">
          <fgColor rgb="FF9AB44D"/>
          <bgColor rgb="FF000000"/>
        </patternFill>
      </fill>
    </dxf>
    <dxf>
      <fill>
        <patternFill patternType="solid">
          <fgColor rgb="FFA1B549"/>
          <bgColor rgb="FF000000"/>
        </patternFill>
      </fill>
    </dxf>
    <dxf>
      <fill>
        <patternFill patternType="solid">
          <fgColor rgb="FFAFB841"/>
          <bgColor rgb="FF000000"/>
        </patternFill>
      </fill>
    </dxf>
    <dxf>
      <fill>
        <patternFill patternType="solid">
          <fgColor rgb="FFB6B93C"/>
          <bgColor rgb="FF000000"/>
        </patternFill>
      </fill>
    </dxf>
    <dxf>
      <fill>
        <patternFill patternType="solid">
          <fgColor rgb="FFBDBA38"/>
          <bgColor rgb="FF000000"/>
        </patternFill>
      </fill>
    </dxf>
    <dxf>
      <fill>
        <patternFill patternType="solid">
          <fgColor rgb="FFC4BC34"/>
          <bgColor rgb="FF000000"/>
        </patternFill>
      </fill>
    </dxf>
    <dxf>
      <fill>
        <patternFill patternType="solid">
          <fgColor rgb="FFCBBD30"/>
          <bgColor rgb="FF000000"/>
        </patternFill>
      </fill>
    </dxf>
    <dxf>
      <fill>
        <patternFill patternType="solid">
          <fgColor rgb="FFD2BF2C"/>
          <bgColor rgb="FF000000"/>
        </patternFill>
      </fill>
    </dxf>
    <dxf>
      <fill>
        <patternFill patternType="solid">
          <fgColor rgb="FFD9C028"/>
          <bgColor rgb="FF000000"/>
        </patternFill>
      </fill>
    </dxf>
    <dxf>
      <fill>
        <patternFill patternType="solid">
          <fgColor rgb="FFE0C124"/>
          <bgColor rgb="FF000000"/>
        </patternFill>
      </fill>
    </dxf>
    <dxf>
      <fill>
        <patternFill patternType="solid">
          <fgColor rgb="FFE63946"/>
          <bgColor rgb="FF000000"/>
        </patternFill>
      </fill>
    </dxf>
    <dxf>
      <fill>
        <patternFill patternType="solid">
          <fgColor rgb="FFE7C320"/>
          <bgColor rgb="FF000000"/>
        </patternFill>
      </fill>
    </dxf>
    <dxf>
      <fill>
        <patternFill patternType="solid">
          <fgColor rgb="FFE84F3F"/>
          <bgColor rgb="FF000000"/>
        </patternFill>
      </fill>
    </dxf>
    <dxf>
      <fill>
        <patternFill patternType="solid">
          <fgColor rgb="FFEB6A36"/>
          <bgColor rgb="FF000000"/>
        </patternFill>
      </fill>
    </dxf>
    <dxf>
      <fill>
        <patternFill patternType="solid">
          <fgColor rgb="FFEB6D35"/>
          <bgColor rgb="FF000000"/>
        </patternFill>
      </fill>
    </dxf>
    <dxf>
      <fill>
        <patternFill patternType="solid">
          <fgColor rgb="FFEC7134"/>
          <bgColor rgb="FF000000"/>
        </patternFill>
      </fill>
    </dxf>
    <dxf>
      <fill>
        <patternFill patternType="solid">
          <fgColor rgb="FFEC7931"/>
          <bgColor rgb="FF000000"/>
        </patternFill>
      </fill>
    </dxf>
    <dxf>
      <fill>
        <patternFill patternType="solid">
          <fgColor rgb="FFED7D30"/>
          <bgColor rgb="FF000000"/>
        </patternFill>
      </fill>
    </dxf>
    <dxf>
      <fill>
        <patternFill patternType="solid">
          <fgColor rgb="FFED802F"/>
          <bgColor rgb="FF000000"/>
        </patternFill>
      </fill>
    </dxf>
    <dxf>
      <fill>
        <patternFill patternType="solid">
          <fgColor rgb="FFEE842E"/>
          <bgColor rgb="FF000000"/>
        </patternFill>
      </fill>
    </dxf>
    <dxf>
      <fill>
        <patternFill patternType="solid">
          <fgColor rgb="FFEE882C"/>
          <bgColor rgb="FF000000"/>
        </patternFill>
      </fill>
    </dxf>
    <dxf>
      <fill>
        <patternFill patternType="solid">
          <fgColor rgb="FFEE8C2B"/>
          <bgColor rgb="FF000000"/>
        </patternFill>
      </fill>
    </dxf>
    <dxf>
      <fill>
        <patternFill patternType="solid">
          <fgColor rgb="FFEEC41C"/>
          <bgColor rgb="FF000000"/>
        </patternFill>
      </fill>
    </dxf>
    <dxf>
      <fill>
        <patternFill patternType="solid">
          <fgColor rgb="FFEF902A"/>
          <bgColor rgb="FF000000"/>
        </patternFill>
      </fill>
    </dxf>
    <dxf>
      <fill>
        <patternFill patternType="solid">
          <fgColor rgb="FFEF9329"/>
          <bgColor rgb="FF000000"/>
        </patternFill>
      </fill>
    </dxf>
    <dxf>
      <fill>
        <patternFill patternType="solid">
          <fgColor rgb="FFF09727"/>
          <bgColor rgb="FF000000"/>
        </patternFill>
      </fill>
    </dxf>
    <dxf>
      <fill>
        <patternFill patternType="solid">
          <fgColor rgb="FFF09B26"/>
          <bgColor rgb="FF000000"/>
        </patternFill>
      </fill>
    </dxf>
    <dxf>
      <fill>
        <patternFill patternType="solid">
          <fgColor rgb="FFF09F25"/>
          <bgColor rgb="FF000000"/>
        </patternFill>
      </fill>
    </dxf>
    <dxf>
      <fill>
        <patternFill patternType="solid">
          <fgColor rgb="FFF1A224"/>
          <bgColor rgb="FF000000"/>
        </patternFill>
      </fill>
    </dxf>
    <dxf>
      <fill>
        <patternFill patternType="solid">
          <fgColor rgb="FFF1A622"/>
          <bgColor rgb="FF000000"/>
        </patternFill>
      </fill>
    </dxf>
    <dxf>
      <fill>
        <patternFill patternType="solid">
          <fgColor rgb="FFF2AA21"/>
          <bgColor rgb="FF000000"/>
        </patternFill>
      </fill>
    </dxf>
    <dxf>
      <fill>
        <patternFill patternType="solid">
          <fgColor rgb="FFF2AE20"/>
          <bgColor rgb="FF000000"/>
        </patternFill>
      </fill>
    </dxf>
    <dxf>
      <fill>
        <patternFill patternType="solid">
          <fgColor rgb="FFF2B21F"/>
          <bgColor rgb="FF000000"/>
        </patternFill>
      </fill>
    </dxf>
    <dxf>
      <fill>
        <patternFill patternType="solid">
          <fgColor rgb="FFF3B51D"/>
          <bgColor rgb="FF000000"/>
        </patternFill>
      </fill>
    </dxf>
    <dxf>
      <fill>
        <patternFill patternType="solid">
          <fgColor rgb="FFF3B91C"/>
          <bgColor rgb="FF000000"/>
        </patternFill>
      </fill>
    </dxf>
    <dxf>
      <fill>
        <patternFill patternType="solid">
          <fgColor rgb="FFF4BD1B"/>
          <bgColor rgb="FF000000"/>
        </patternFill>
      </fill>
    </dxf>
    <dxf>
      <fill>
        <patternFill patternType="solid">
          <fgColor rgb="FFF4C11A"/>
          <bgColor rgb="FF000000"/>
        </patternFill>
      </fill>
    </dxf>
    <dxf>
      <fill>
        <patternFill patternType="solid">
          <fgColor rgb="FFFFCFCF"/>
          <bgColor rgb="FF000000"/>
        </patternFill>
      </fill>
    </dxf>
    <dxf>
      <fill>
        <patternFill patternType="solid">
          <fgColor rgb="FFB00020"/>
          <bgColor rgb="FF000000"/>
        </patternFill>
      </fill>
    </dxf>
    <dxf>
      <font>
        <b val="1"/>
        <color rgb="FFB00020"/>
      </font>
      <fill>
        <patternFill>
          <bgColor rgb="FFFFCFCF"/>
        </patternFill>
      </fill>
    </dxf>
    <dxf>
      <fill>
        <patternFill patternType="solid">
          <fgColor rgb="FF3A3F52"/>
          <bgColor rgb="FF000000"/>
        </patternFill>
      </fill>
    </dxf>
    <dxf>
      <fill>
        <patternFill patternType="solid">
          <fgColor rgb="FF222222"/>
          <bgColor rgb="FF000000"/>
        </patternFill>
      </fill>
    </dxf>
    <dxf>
      <fill>
        <patternFill patternType="solid">
          <fgColor rgb="FFFFFFFF"/>
          <bgColor rgb="FF000000"/>
        </patternFill>
      </fill>
    </dxf>
    <dxf>
      <fill>
        <patternFill patternType="solid">
          <fgColor rgb="FFFFD6D6"/>
          <bgColor rgb="FF000000"/>
        </patternFill>
      </fill>
    </dxf>
  </dxfs>
  <colors>
    <indexedColors>
      <rgbColor rgb="FF000000"/>
      <rgbColor rgb="FFFFFFFF"/>
      <rgbColor rgb="FFFF0000"/>
      <rgbColor rgb="FF00FF00"/>
      <rgbColor rgb="FF0000FF"/>
      <rgbColor rgb="FFFFFF00"/>
      <rgbColor rgb="FFFF00FF"/>
      <rgbColor rgb="FF00FFFF"/>
      <rgbColor rgb="FFB00020"/>
      <rgbColor rgb="FF008000"/>
      <rgbColor rgb="FF0D1321"/>
      <rgbColor rgb="FF808000"/>
      <rgbColor rgb="FF800080"/>
      <rgbColor rgb="FF118AB2"/>
      <rgbColor rgb="FFFFCFCF"/>
      <rgbColor rgb="FF878787"/>
      <rgbColor rgb="FF8A8FA3"/>
      <rgbColor rgb="FFE63946"/>
      <rgbColor rgb="FFF1F1F1"/>
      <rgbColor rgb="FFCCFFFF"/>
      <rgbColor rgb="FF660066"/>
      <rgbColor rgb="FFEF476F"/>
      <rgbColor rgb="FF3A86FF"/>
      <rgbColor rgb="FFFFD6D6"/>
      <rgbColor rgb="FF141B2D"/>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9B5DE5"/>
      <rgbColor rgb="FFFFD166"/>
      <rgbColor rgb="FF4C6EF5"/>
      <rgbColor rgb="FF06D6A0"/>
      <rgbColor rgb="FF99CC00"/>
      <rgbColor rgb="FFF5C518"/>
      <rgbColor rgb="FFC9971B"/>
      <rgbColor rgb="FFF77F00"/>
      <rgbColor rgb="FF555555"/>
      <rgbColor rgb="FF999999"/>
      <rgbColor rgb="FF1B2438"/>
      <rgbColor rgb="FF2A9D8F"/>
      <rgbColor rgb="FF1A1A1A"/>
      <rgbColor rgb="FF222222"/>
      <rgbColor rgb="FF993300"/>
      <rgbColor rgb="FF8338EC"/>
      <rgbColor rgb="FF3A3F52"/>
      <rgbColor rgb="FF2A33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f5c518"/>
                </a:solidFill>
                <a:latin typeface="Calibri"/>
              </a:defRPr>
            </a:pPr>
            <a:r>
              <a:rPr b="1" sz="1300" spc="-1" strike="noStrike">
                <a:solidFill>
                  <a:srgbClr val="f5c518"/>
                </a:solidFill>
                <a:latin typeface="Calibri"/>
              </a:rPr>
              <a:t>Revenue by Release Year</a:t>
            </a:r>
          </a:p>
        </c:rich>
      </c:tx>
      <c:overlay val="0"/>
      <c:spPr>
        <a:noFill/>
        <a:ln w="0">
          <a:noFill/>
        </a:ln>
      </c:spPr>
    </c:title>
    <c:autoTitleDeleted val="0"/>
    <c:plotArea>
      <c:lineChart>
        <c:grouping val="standard"/>
        <c:varyColors val="0"/>
        <c:ser>
          <c:idx val="0"/>
          <c:order val="0"/>
          <c:tx>
            <c:strRef>
              <c:f>'Pivot Tables'!B2</c:f>
              <c:strCache>
                <c:ptCount val="1"/>
                <c:pt idx="0">
                  <c:v>Total Revenue</c:v>
                </c:pt>
              </c:strCache>
            </c:strRef>
          </c:tx>
          <c:spPr>
            <a:solidFill>
              <a:srgbClr val="f5c518"/>
            </a:solidFill>
            <a:ln w="21960">
              <a:solidFill>
                <a:srgbClr val="f5c518"/>
              </a:solidFill>
              <a:round/>
            </a:ln>
          </c:spPr>
          <c:marker>
            <c:symbol val="circle"/>
            <c:size val="5"/>
            <c:spPr>
              <a:solidFill>
                <a:srgbClr val="f5c518"/>
              </a:solidFill>
            </c:spPr>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'Pivot Tables'!$A$3:$A$27</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'Pivot Tables'!$B$3:$B$27</c:f>
              <c:numCache>
                <c:formatCode>\$#,##0</c:formatCode>
                <c:ptCount val="25"/>
                <c:pt idx="0">
                  <c:v>1765383000</c:v>
                </c:pt>
                <c:pt idx="1">
                  <c:v>280442000</c:v>
                </c:pt>
                <c:pt idx="2">
                  <c:v>3310716500</c:v>
                </c:pt>
                <c:pt idx="3">
                  <c:v>1206099000</c:v>
                </c:pt>
                <c:pt idx="4">
                  <c:v>2703789000</c:v>
                </c:pt>
                <c:pt idx="5">
                  <c:v>667580000</c:v>
                </c:pt>
                <c:pt idx="6">
                  <c:v>825324500</c:v>
                </c:pt>
                <c:pt idx="7">
                  <c:v>753472000</c:v>
                </c:pt>
                <c:pt idx="8">
                  <c:v>2079789000</c:v>
                </c:pt>
                <c:pt idx="9">
                  <c:v>815554000</c:v>
                </c:pt>
                <c:pt idx="10">
                  <c:v>1367515000</c:v>
                </c:pt>
                <c:pt idx="11">
                  <c:v>709111000</c:v>
                </c:pt>
                <c:pt idx="12">
                  <c:v>1555412000</c:v>
                </c:pt>
                <c:pt idx="13">
                  <c:v>2691779000</c:v>
                </c:pt>
                <c:pt idx="14">
                  <c:v>829615500</c:v>
                </c:pt>
                <c:pt idx="15">
                  <c:v>1325713000</c:v>
                </c:pt>
                <c:pt idx="16">
                  <c:v>1316185000</c:v>
                </c:pt>
                <c:pt idx="17">
                  <c:v>631051000</c:v>
                </c:pt>
                <c:pt idx="18">
                  <c:v>1760846000</c:v>
                </c:pt>
                <c:pt idx="19">
                  <c:v>1419054000</c:v>
                </c:pt>
                <c:pt idx="20">
                  <c:v>4736750000</c:v>
                </c:pt>
                <c:pt idx="21">
                  <c:v>1085706000</c:v>
                </c:pt>
                <c:pt idx="22">
                  <c:v>751841500</c:v>
                </c:pt>
                <c:pt idx="23">
                  <c:v>408793000</c:v>
                </c:pt>
                <c:pt idx="24">
                  <c:v>427963000</c:v>
                </c:pt>
              </c:numCache>
            </c:numRef>
          </c:val>
          <c:smooth val="0"/>
        </c:ser>
        <c:hiLowLines>
          <c:spPr>
            <a:ln w="0">
              <a:noFill/>
            </a:ln>
          </c:spPr>
        </c:hiLowLines>
        <c:marker val="1"/>
        <c:axId val="49805943"/>
        <c:axId val="55113372"/>
      </c:lineChart>
      <c:catAx>
        <c:axId val="49805943"/>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900" spc="-1" strike="noStrike">
                <a:solidFill>
                  <a:srgbClr val="8a8fa3"/>
                </a:solidFill>
                <a:latin typeface="Calibri"/>
              </a:defRPr>
            </a:pPr>
          </a:p>
        </c:txPr>
        <c:crossAx val="55113372"/>
        <c:crosses val="autoZero"/>
        <c:auto val="1"/>
        <c:lblAlgn val="ctr"/>
        <c:lblOffset val="100"/>
        <c:noMultiLvlLbl val="0"/>
      </c:catAx>
      <c:valAx>
        <c:axId val="55113372"/>
        <c:scaling>
          <c:orientation val="minMax"/>
        </c:scaling>
        <c:delete val="0"/>
        <c:axPos val="l"/>
        <c:majorGridlines>
          <c:spPr>
            <a:ln w="2880">
              <a:solidFill>
                <a:srgbClr val="2a3350"/>
              </a:solidFill>
              <a:round/>
            </a:ln>
          </c:spPr>
        </c:majorGridlines>
        <c:numFmt formatCode="\$#,##0" sourceLinked="0"/>
        <c:majorTickMark val="none"/>
        <c:minorTickMark val="none"/>
        <c:tickLblPos val="nextTo"/>
        <c:spPr>
          <a:ln w="9360">
            <a:solidFill>
              <a:srgbClr val="878787"/>
            </a:solidFill>
            <a:round/>
          </a:ln>
        </c:spPr>
        <c:txPr>
          <a:bodyPr/>
          <a:lstStyle/>
          <a:p>
            <a:pPr>
              <a:defRPr b="0" sz="900" spc="-1" strike="noStrike">
                <a:solidFill>
                  <a:srgbClr val="8a8fa3"/>
                </a:solidFill>
                <a:latin typeface="Calibri"/>
              </a:defRPr>
            </a:pPr>
          </a:p>
        </c:txPr>
        <c:crossAx val="49805943"/>
        <c:crosses val="autoZero"/>
        <c:crossBetween val="between"/>
      </c:valAx>
      <c:spPr>
        <a:solidFill>
          <a:srgbClr val="1b2438"/>
        </a:solidFill>
        <a:ln w="0">
          <a:noFill/>
        </a:ln>
      </c:spPr>
    </c:plotArea>
    <c:legend>
      <c:legendPos val="b"/>
      <c:overlay val="0"/>
      <c:spPr>
        <a:noFill/>
        <a:ln w="0">
          <a:noFill/>
        </a:ln>
      </c:spPr>
      <c:txPr>
        <a:bodyPr/>
        <a:lstStyle/>
        <a:p>
          <a:pPr>
            <a:defRPr b="0" sz="850" spc="-1" strike="noStrike">
              <a:solidFill>
                <a:srgbClr val="f1f1f1"/>
              </a:solidFill>
              <a:latin typeface="Calibri"/>
            </a:defRPr>
          </a:pPr>
        </a:p>
      </c:txPr>
    </c:legend>
    <c:plotVisOnly val="1"/>
    <c:dispBlanksAs val="gap"/>
  </c:chart>
  <c:spPr>
    <a:solidFill>
      <a:srgbClr val="1b2438"/>
    </a:solidFill>
    <a:ln w="9360">
      <a:solidFill>
        <a:srgbClr val="2a3350"/>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f5c518"/>
                </a:solidFill>
                <a:latin typeface="Calibri"/>
              </a:defRPr>
            </a:pPr>
            <a:r>
              <a:rPr b="1" sz="1300" spc="-1" strike="noStrike">
                <a:solidFill>
                  <a:srgbClr val="f5c518"/>
                </a:solidFill>
                <a:latin typeface="Calibri"/>
              </a:rPr>
              <a:t>Top 10 Highest-Grossing Movies</a:t>
            </a:r>
          </a:p>
        </c:rich>
      </c:tx>
      <c:overlay val="0"/>
      <c:spPr>
        <a:noFill/>
        <a:ln w="0">
          <a:noFill/>
        </a:ln>
      </c:spPr>
    </c:title>
    <c:autoTitleDeleted val="0"/>
    <c:plotArea>
      <c:barChart>
        <c:barDir val="bar"/>
        <c:grouping val="clustered"/>
        <c:varyColors val="0"/>
        <c:ser>
          <c:idx val="0"/>
          <c:order val="0"/>
          <c:tx>
            <c:strRef>
              <c:f>'Pivot Tables'!J31</c:f>
              <c:strCache>
                <c:ptCount val="1"/>
                <c:pt idx="0">
                  <c:v>Revenue</c:v>
                </c:pt>
              </c:strCache>
            </c:strRef>
          </c:tx>
          <c:spPr>
            <a:solidFill>
              <a:srgbClr val="f5c518"/>
            </a:solidFill>
            <a:ln w="9360">
              <a:noFill/>
            </a:ln>
          </c:spPr>
          <c:invertIfNegative val="0"/>
          <c:dLbls>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'Pivot Tables'!$G$32:$G$41</c:f>
              <c:strCache>
                <c:ptCount val="10"/>
                <c:pt idx="0">
                  <c:v>Lost Requiem</c:v>
                </c:pt>
                <c:pt idx="1">
                  <c:v>Silver Horizon</c:v>
                </c:pt>
                <c:pt idx="2">
                  <c:v>Sacred Reckoning</c:v>
                </c:pt>
                <c:pt idx="3">
                  <c:v>Silent Reckoning</c:v>
                </c:pt>
                <c:pt idx="4">
                  <c:v>Burning Paradox</c:v>
                </c:pt>
                <c:pt idx="5">
                  <c:v>Distant Legacy</c:v>
                </c:pt>
                <c:pt idx="6">
                  <c:v>Shadow Legacy</c:v>
                </c:pt>
                <c:pt idx="7">
                  <c:v>Eternal Echoes Rising</c:v>
                </c:pt>
                <c:pt idx="8">
                  <c:v>Midnight Echoes</c:v>
                </c:pt>
                <c:pt idx="9">
                  <c:v>Sacred Kingdom</c:v>
                </c:pt>
              </c:strCache>
            </c:strRef>
          </c:cat>
          <c:val>
            <c:numRef>
              <c:f>'Pivot Tables'!$J$32:$J$41</c:f>
              <c:numCache>
                <c:formatCode>\$#,##0</c:formatCode>
                <c:ptCount val="10"/>
                <c:pt idx="0">
                  <c:v>1456529000</c:v>
                </c:pt>
                <c:pt idx="1">
                  <c:v>1407192000</c:v>
                </c:pt>
                <c:pt idx="2">
                  <c:v>1271415000</c:v>
                </c:pt>
                <c:pt idx="3">
                  <c:v>1205730000</c:v>
                </c:pt>
                <c:pt idx="4">
                  <c:v>959689000</c:v>
                </c:pt>
                <c:pt idx="5">
                  <c:v>938683000</c:v>
                </c:pt>
                <c:pt idx="6">
                  <c:v>800043000</c:v>
                </c:pt>
                <c:pt idx="7">
                  <c:v>685629000</c:v>
                </c:pt>
                <c:pt idx="8">
                  <c:v>660031000</c:v>
                </c:pt>
                <c:pt idx="9">
                  <c:v>610881000</c:v>
                </c:pt>
              </c:numCache>
            </c:numRef>
          </c:val>
        </c:ser>
        <c:gapWidth val="40"/>
        <c:overlap val="0"/>
        <c:axId val="83359873"/>
        <c:axId val="69809338"/>
      </c:barChart>
      <c:catAx>
        <c:axId val="83359873"/>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900" spc="-1" strike="noStrike">
                <a:solidFill>
                  <a:srgbClr val="8a8fa3"/>
                </a:solidFill>
                <a:latin typeface="Calibri"/>
              </a:defRPr>
            </a:pPr>
          </a:p>
        </c:txPr>
        <c:crossAx val="69809338"/>
        <c:crosses val="autoZero"/>
        <c:auto val="1"/>
        <c:lblAlgn val="ctr"/>
        <c:lblOffset val="100"/>
        <c:noMultiLvlLbl val="0"/>
      </c:catAx>
      <c:valAx>
        <c:axId val="69809338"/>
        <c:scaling>
          <c:orientation val="minMax"/>
        </c:scaling>
        <c:delete val="0"/>
        <c:axPos val="l"/>
        <c:majorGridlines>
          <c:spPr>
            <a:ln w="2880">
              <a:solidFill>
                <a:srgbClr val="2a3350"/>
              </a:solidFill>
              <a:round/>
            </a:ln>
          </c:spPr>
        </c:majorGridlines>
        <c:numFmt formatCode="\$#,##0" sourceLinked="0"/>
        <c:majorTickMark val="none"/>
        <c:minorTickMark val="none"/>
        <c:tickLblPos val="nextTo"/>
        <c:spPr>
          <a:ln w="9360">
            <a:solidFill>
              <a:srgbClr val="878787"/>
            </a:solidFill>
            <a:round/>
          </a:ln>
        </c:spPr>
        <c:txPr>
          <a:bodyPr/>
          <a:lstStyle/>
          <a:p>
            <a:pPr>
              <a:defRPr b="0" sz="900" spc="-1" strike="noStrike">
                <a:solidFill>
                  <a:srgbClr val="8a8fa3"/>
                </a:solidFill>
                <a:latin typeface="Calibri"/>
              </a:defRPr>
            </a:pPr>
          </a:p>
        </c:txPr>
        <c:crossAx val="83359873"/>
        <c:crosses val="autoZero"/>
        <c:crossBetween val="between"/>
      </c:valAx>
      <c:spPr>
        <a:solidFill>
          <a:srgbClr val="1b2438"/>
        </a:solidFill>
        <a:ln w="0">
          <a:noFill/>
        </a:ln>
      </c:spPr>
    </c:plotArea>
    <c:plotVisOnly val="1"/>
    <c:dispBlanksAs val="gap"/>
  </c:chart>
  <c:spPr>
    <a:solidFill>
      <a:srgbClr val="1b2438"/>
    </a:solidFill>
    <a:ln w="9360">
      <a:solidFill>
        <a:srgbClr val="2a3350"/>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f5c518"/>
                </a:solidFill>
                <a:latin typeface="Calibri"/>
              </a:defRPr>
            </a:pPr>
            <a:r>
              <a:rPr b="1" sz="1300" spc="-1" strike="noStrike">
                <a:solidFill>
                  <a:srgbClr val="f5c518"/>
                </a:solidFill>
                <a:latin typeface="Calibri"/>
              </a:rPr>
              <a:t>Genre Distribution (by Movie Count)</a:t>
            </a:r>
          </a:p>
        </c:rich>
      </c:tx>
      <c:overlay val="0"/>
      <c:spPr>
        <a:noFill/>
        <a:ln w="0">
          <a:noFill/>
        </a:ln>
      </c:spPr>
    </c:title>
    <c:autoTitleDeleted val="0"/>
    <c:plotArea>
      <c:pieChart>
        <c:varyColors val="1"/>
        <c:ser>
          <c:idx val="0"/>
          <c:order val="0"/>
          <c:tx>
            <c:strRef>
              <c:f>'Pivot Tables'!G2</c:f>
              <c:strCache>
                <c:ptCount val="1"/>
                <c:pt idx="0">
                  <c:v>Movie Count</c:v>
                </c:pt>
              </c:strCache>
            </c:strRef>
          </c:tx>
          <c:spPr>
            <a:solidFill>
              <a:srgbClr val="f5c518"/>
            </a:solidFill>
            <a:ln w="0">
              <a:noFill/>
            </a:ln>
          </c:spPr>
          <c:explosion val="0"/>
          <c:dPt>
            <c:idx val="0"/>
            <c:spPr>
              <a:solidFill>
                <a:srgbClr val="f5c518"/>
              </a:solidFill>
              <a:ln w="0">
                <a:noFill/>
              </a:ln>
            </c:spPr>
          </c:dPt>
          <c:dPt>
            <c:idx val="1"/>
            <c:spPr>
              <a:solidFill>
                <a:srgbClr val="e63946"/>
              </a:solidFill>
              <a:ln w="0">
                <a:noFill/>
              </a:ln>
            </c:spPr>
          </c:dPt>
          <c:dPt>
            <c:idx val="2"/>
            <c:spPr>
              <a:solidFill>
                <a:srgbClr val="4c6ef5"/>
              </a:solidFill>
              <a:ln w="0">
                <a:noFill/>
              </a:ln>
            </c:spPr>
          </c:dPt>
          <c:dPt>
            <c:idx val="3"/>
            <c:spPr>
              <a:solidFill>
                <a:srgbClr val="2a9d8f"/>
              </a:solidFill>
              <a:ln w="0">
                <a:noFill/>
              </a:ln>
            </c:spPr>
          </c:dPt>
          <c:dPt>
            <c:idx val="4"/>
            <c:spPr>
              <a:solidFill>
                <a:srgbClr val="9b5de5"/>
              </a:solidFill>
              <a:ln w="0">
                <a:noFill/>
              </a:ln>
            </c:spPr>
          </c:dPt>
          <c:dPt>
            <c:idx val="5"/>
            <c:spPr>
              <a:solidFill>
                <a:srgbClr val="f77f00"/>
              </a:solidFill>
              <a:ln w="0">
                <a:noFill/>
              </a:ln>
            </c:spPr>
          </c:dPt>
          <c:dPt>
            <c:idx val="6"/>
            <c:spPr>
              <a:solidFill>
                <a:srgbClr val="06d6a0"/>
              </a:solidFill>
              <a:ln w="0">
                <a:noFill/>
              </a:ln>
            </c:spPr>
          </c:dPt>
          <c:dPt>
            <c:idx val="7"/>
            <c:spPr>
              <a:solidFill>
                <a:srgbClr val="ef476f"/>
              </a:solidFill>
              <a:ln w="0">
                <a:noFill/>
              </a:ln>
            </c:spPr>
          </c:dPt>
          <c:dPt>
            <c:idx val="8"/>
            <c:spPr>
              <a:solidFill>
                <a:srgbClr val="118ab2"/>
              </a:solidFill>
              <a:ln w="0">
                <a:noFill/>
              </a:ln>
            </c:spPr>
          </c:dPt>
          <c:dPt>
            <c:idx val="9"/>
            <c:spPr>
              <a:solidFill>
                <a:srgbClr val="ffd166"/>
              </a:solidFill>
              <a:ln w="0">
                <a:noFill/>
              </a:ln>
            </c:spPr>
          </c:dPt>
          <c:dPt>
            <c:idx val="10"/>
            <c:spPr>
              <a:solidFill>
                <a:srgbClr val="8338ec"/>
              </a:solidFill>
              <a:ln w="0">
                <a:noFill/>
              </a:ln>
            </c:spPr>
          </c:dPt>
          <c:dPt>
            <c:idx val="11"/>
            <c:spPr>
              <a:solidFill>
                <a:srgbClr val="3a86ff"/>
              </a:solidFill>
              <a:ln w="0">
                <a:noFill/>
              </a:ln>
            </c:spPr>
          </c:dPt>
          <c:dLbls>
            <c:dLbl>
              <c:idx val="0"/>
              <c:txPr>
                <a:bodyPr wrap="square"/>
                <a:lstStyle/>
                <a:p>
                  <a:pPr>
                    <a:defRPr b="1" sz="800" spc="-1" strike="noStrike">
                      <a:solidFill>
                        <a:srgbClr val="0d1321"/>
                      </a:solidFill>
                      <a:latin typeface="Calibri"/>
                    </a:defRPr>
                  </a:pPr>
                </a:p>
              </c:txPr>
              <c:dLblPos val="bestFit"/>
              <c:showLegendKey val="0"/>
              <c:showVal val="0"/>
              <c:showCatName val="0"/>
              <c:showSerName val="0"/>
              <c:showPercent val="1"/>
              <c:separator>
</c:separator>
            </c:dLbl>
            <c:dLbl>
              <c:idx val="1"/>
              <c:txPr>
                <a:bodyPr wrap="square"/>
                <a:lstStyle/>
                <a:p>
                  <a:pPr>
                    <a:defRPr b="1" sz="800" spc="-1" strike="noStrike">
                      <a:solidFill>
                        <a:srgbClr val="0d1321"/>
                      </a:solidFill>
                      <a:latin typeface="Calibri"/>
                    </a:defRPr>
                  </a:pPr>
                </a:p>
              </c:txPr>
              <c:dLblPos val="bestFit"/>
              <c:showLegendKey val="0"/>
              <c:showVal val="0"/>
              <c:showCatName val="0"/>
              <c:showSerName val="0"/>
              <c:showPercent val="1"/>
              <c:separator>
</c:separator>
            </c:dLbl>
            <c:dLbl>
              <c:idx val="2"/>
              <c:txPr>
                <a:bodyPr wrap="square"/>
                <a:lstStyle/>
                <a:p>
                  <a:pPr>
                    <a:defRPr b="1" sz="800" spc="-1" strike="noStrike">
                      <a:solidFill>
                        <a:srgbClr val="0d1321"/>
                      </a:solidFill>
                      <a:latin typeface="Calibri"/>
                    </a:defRPr>
                  </a:pPr>
                </a:p>
              </c:txPr>
              <c:dLblPos val="bestFit"/>
              <c:showLegendKey val="0"/>
              <c:showVal val="0"/>
              <c:showCatName val="0"/>
              <c:showSerName val="0"/>
              <c:showPercent val="1"/>
              <c:separator>
</c:separator>
            </c:dLbl>
            <c:dLbl>
              <c:idx val="3"/>
              <c:txPr>
                <a:bodyPr wrap="square"/>
                <a:lstStyle/>
                <a:p>
                  <a:pPr>
                    <a:defRPr b="1" sz="800" spc="-1" strike="noStrike">
                      <a:solidFill>
                        <a:srgbClr val="0d1321"/>
                      </a:solidFill>
                      <a:latin typeface="Calibri"/>
                    </a:defRPr>
                  </a:pPr>
                </a:p>
              </c:txPr>
              <c:dLblPos val="bestFit"/>
              <c:showLegendKey val="0"/>
              <c:showVal val="0"/>
              <c:showCatName val="0"/>
              <c:showSerName val="0"/>
              <c:showPercent val="1"/>
              <c:separator>
</c:separator>
            </c:dLbl>
            <c:dLbl>
              <c:idx val="4"/>
              <c:txPr>
                <a:bodyPr wrap="square"/>
                <a:lstStyle/>
                <a:p>
                  <a:pPr>
                    <a:defRPr b="1" sz="800" spc="-1" strike="noStrike">
                      <a:solidFill>
                        <a:srgbClr val="0d1321"/>
                      </a:solidFill>
                      <a:latin typeface="Calibri"/>
                    </a:defRPr>
                  </a:pPr>
                </a:p>
              </c:txPr>
              <c:dLblPos val="bestFit"/>
              <c:showLegendKey val="0"/>
              <c:showVal val="0"/>
              <c:showCatName val="0"/>
              <c:showSerName val="0"/>
              <c:showPercent val="1"/>
              <c:separator>
</c:separator>
            </c:dLbl>
            <c:dLbl>
              <c:idx val="5"/>
              <c:txPr>
                <a:bodyPr wrap="square"/>
                <a:lstStyle/>
                <a:p>
                  <a:pPr>
                    <a:defRPr b="1" sz="800" spc="-1" strike="noStrike">
                      <a:solidFill>
                        <a:srgbClr val="0d1321"/>
                      </a:solidFill>
                      <a:latin typeface="Calibri"/>
                    </a:defRPr>
                  </a:pPr>
                </a:p>
              </c:txPr>
              <c:dLblPos val="bestFit"/>
              <c:showLegendKey val="0"/>
              <c:showVal val="0"/>
              <c:showCatName val="0"/>
              <c:showSerName val="0"/>
              <c:showPercent val="1"/>
              <c:separator>
</c:separator>
            </c:dLbl>
            <c:dLbl>
              <c:idx val="6"/>
              <c:txPr>
                <a:bodyPr wrap="square"/>
                <a:lstStyle/>
                <a:p>
                  <a:pPr>
                    <a:defRPr b="1" sz="800" spc="-1" strike="noStrike">
                      <a:solidFill>
                        <a:srgbClr val="0d1321"/>
                      </a:solidFill>
                      <a:latin typeface="Calibri"/>
                    </a:defRPr>
                  </a:pPr>
                </a:p>
              </c:txPr>
              <c:dLblPos val="bestFit"/>
              <c:showLegendKey val="0"/>
              <c:showVal val="0"/>
              <c:showCatName val="0"/>
              <c:showSerName val="0"/>
              <c:showPercent val="1"/>
              <c:separator>
</c:separator>
            </c:dLbl>
            <c:dLbl>
              <c:idx val="7"/>
              <c:txPr>
                <a:bodyPr wrap="square"/>
                <a:lstStyle/>
                <a:p>
                  <a:pPr>
                    <a:defRPr b="1" sz="800" spc="-1" strike="noStrike">
                      <a:solidFill>
                        <a:srgbClr val="0d1321"/>
                      </a:solidFill>
                      <a:latin typeface="Calibri"/>
                    </a:defRPr>
                  </a:pPr>
                </a:p>
              </c:txPr>
              <c:dLblPos val="bestFit"/>
              <c:showLegendKey val="0"/>
              <c:showVal val="0"/>
              <c:showCatName val="0"/>
              <c:showSerName val="0"/>
              <c:showPercent val="1"/>
              <c:separator>
</c:separator>
            </c:dLbl>
            <c:dLbl>
              <c:idx val="8"/>
              <c:txPr>
                <a:bodyPr wrap="square"/>
                <a:lstStyle/>
                <a:p>
                  <a:pPr>
                    <a:defRPr b="1" sz="800" spc="-1" strike="noStrike">
                      <a:solidFill>
                        <a:srgbClr val="0d1321"/>
                      </a:solidFill>
                      <a:latin typeface="Calibri"/>
                    </a:defRPr>
                  </a:pPr>
                </a:p>
              </c:txPr>
              <c:dLblPos val="bestFit"/>
              <c:showLegendKey val="0"/>
              <c:showVal val="0"/>
              <c:showCatName val="0"/>
              <c:showSerName val="0"/>
              <c:showPercent val="1"/>
              <c:separator>
</c:separator>
            </c:dLbl>
            <c:dLbl>
              <c:idx val="9"/>
              <c:txPr>
                <a:bodyPr wrap="square"/>
                <a:lstStyle/>
                <a:p>
                  <a:pPr>
                    <a:defRPr b="1" sz="800" spc="-1" strike="noStrike">
                      <a:solidFill>
                        <a:srgbClr val="0d1321"/>
                      </a:solidFill>
                      <a:latin typeface="Calibri"/>
                    </a:defRPr>
                  </a:pPr>
                </a:p>
              </c:txPr>
              <c:dLblPos val="bestFit"/>
              <c:showLegendKey val="0"/>
              <c:showVal val="0"/>
              <c:showCatName val="0"/>
              <c:showSerName val="0"/>
              <c:showPercent val="1"/>
              <c:separator>
</c:separator>
            </c:dLbl>
            <c:dLbl>
              <c:idx val="10"/>
              <c:txPr>
                <a:bodyPr wrap="square"/>
                <a:lstStyle/>
                <a:p>
                  <a:pPr>
                    <a:defRPr b="1" sz="800" spc="-1" strike="noStrike">
                      <a:solidFill>
                        <a:srgbClr val="0d1321"/>
                      </a:solidFill>
                      <a:latin typeface="Calibri"/>
                    </a:defRPr>
                  </a:pPr>
                </a:p>
              </c:txPr>
              <c:dLblPos val="bestFit"/>
              <c:showLegendKey val="0"/>
              <c:showVal val="0"/>
              <c:showCatName val="0"/>
              <c:showSerName val="0"/>
              <c:showPercent val="1"/>
              <c:separator>
</c:separator>
            </c:dLbl>
            <c:dLbl>
              <c:idx val="11"/>
              <c:txPr>
                <a:bodyPr wrap="square"/>
                <a:lstStyle/>
                <a:p>
                  <a:pPr>
                    <a:defRPr b="1" sz="800" spc="-1" strike="noStrike">
                      <a:solidFill>
                        <a:srgbClr val="0d1321"/>
                      </a:solidFill>
                      <a:latin typeface="Calibri"/>
                    </a:defRPr>
                  </a:pPr>
                </a:p>
              </c:txPr>
              <c:dLblPos val="bestFit"/>
              <c:showLegendKey val="0"/>
              <c:showVal val="0"/>
              <c:showCatName val="0"/>
              <c:showSerName val="0"/>
              <c:showPercent val="1"/>
              <c:separator>
</c:separator>
            </c:dLbl>
            <c:txPr>
              <a:bodyPr wrap="square"/>
              <a:lstStyle/>
              <a:p>
                <a:pPr>
                  <a:defRPr b="1" sz="800" spc="-1" strike="noStrike">
                    <a:solidFill>
                      <a:srgbClr val="0d1321"/>
                    </a:solidFill>
                    <a:latin typeface="Calibri"/>
                  </a:defRPr>
                </a:pPr>
              </a:p>
            </c:txPr>
            <c:dLblPos val="bestFit"/>
            <c:showLegendKey val="0"/>
            <c:showVal val="0"/>
            <c:showCatName val="0"/>
            <c:showSerName val="0"/>
            <c:showPercent val="1"/>
            <c:separator>
</c:separator>
            <c:showLeaderLines val="1"/>
          </c:dLbls>
          <c:cat>
            <c:strRef>
              <c:f>'Pivot Tables'!$F$3:$F$14</c:f>
              <c:strCache>
                <c:ptCount val="12"/>
                <c:pt idx="0">
                  <c:v>Action</c:v>
                </c:pt>
                <c:pt idx="1">
                  <c:v>Adventure</c:v>
                </c:pt>
                <c:pt idx="2">
                  <c:v>Animation</c:v>
                </c:pt>
                <c:pt idx="3">
                  <c:v>Comedy</c:v>
                </c:pt>
                <c:pt idx="4">
                  <c:v>Crime</c:v>
                </c:pt>
                <c:pt idx="5">
                  <c:v>Documentary</c:v>
                </c:pt>
                <c:pt idx="6">
                  <c:v>Drama</c:v>
                </c:pt>
                <c:pt idx="7">
                  <c:v>Fantasy</c:v>
                </c:pt>
                <c:pt idx="8">
                  <c:v>Horror</c:v>
                </c:pt>
                <c:pt idx="9">
                  <c:v>Romance</c:v>
                </c:pt>
                <c:pt idx="10">
                  <c:v>Sci-Fi</c:v>
                </c:pt>
                <c:pt idx="11">
                  <c:v>Thriller</c:v>
                </c:pt>
              </c:strCache>
            </c:strRef>
          </c:cat>
          <c:val>
            <c:numRef>
              <c:f>'Pivot Tables'!$G$3:$G$14</c:f>
              <c:numCache>
                <c:formatCode>General</c:formatCode>
                <c:ptCount val="12"/>
                <c:pt idx="0">
                  <c:v>16</c:v>
                </c:pt>
                <c:pt idx="1">
                  <c:v>15</c:v>
                </c:pt>
                <c:pt idx="2">
                  <c:v>20</c:v>
                </c:pt>
                <c:pt idx="3">
                  <c:v>11</c:v>
                </c:pt>
                <c:pt idx="4">
                  <c:v>19</c:v>
                </c:pt>
                <c:pt idx="5">
                  <c:v>23</c:v>
                </c:pt>
                <c:pt idx="6">
                  <c:v>21</c:v>
                </c:pt>
                <c:pt idx="7">
                  <c:v>23</c:v>
                </c:pt>
                <c:pt idx="8">
                  <c:v>16</c:v>
                </c:pt>
                <c:pt idx="9">
                  <c:v>17</c:v>
                </c:pt>
                <c:pt idx="10">
                  <c:v>25</c:v>
                </c:pt>
                <c:pt idx="11">
                  <c:v>16</c:v>
                </c:pt>
              </c:numCache>
            </c:numRef>
          </c:val>
        </c:ser>
        <c:firstSliceAng val="0"/>
      </c:pieChart>
      <c:spPr>
        <a:solidFill>
          <a:srgbClr val="1b2438"/>
        </a:solidFill>
        <a:ln w="0">
          <a:noFill/>
        </a:ln>
      </c:spPr>
    </c:plotArea>
    <c:legend>
      <c:legendPos val="b"/>
      <c:overlay val="0"/>
      <c:spPr>
        <a:noFill/>
        <a:ln w="0">
          <a:noFill/>
        </a:ln>
      </c:spPr>
      <c:txPr>
        <a:bodyPr/>
        <a:lstStyle/>
        <a:p>
          <a:pPr>
            <a:defRPr b="0" sz="850" spc="-1" strike="noStrike">
              <a:solidFill>
                <a:srgbClr val="f1f1f1"/>
              </a:solidFill>
              <a:latin typeface="Calibri"/>
            </a:defRPr>
          </a:pPr>
        </a:p>
      </c:txPr>
    </c:legend>
    <c:plotVisOnly val="1"/>
    <c:dispBlanksAs val="gap"/>
  </c:chart>
  <c:spPr>
    <a:solidFill>
      <a:srgbClr val="1b2438"/>
    </a:solidFill>
    <a:ln w="9360">
      <a:solidFill>
        <a:srgbClr val="2a3350"/>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f5c518"/>
                </a:solidFill>
                <a:latin typeface="Calibri"/>
              </a:defRPr>
            </a:pPr>
            <a:r>
              <a:rPr b="1" sz="1300" spc="-1" strike="noStrike">
                <a:solidFill>
                  <a:srgbClr val="f5c518"/>
                </a:solidFill>
                <a:latin typeface="Calibri"/>
              </a:rPr>
              <a:t>Top 10 Directors by Total Revenue</a:t>
            </a:r>
          </a:p>
        </c:rich>
      </c:tx>
      <c:overlay val="0"/>
      <c:spPr>
        <a:noFill/>
        <a:ln w="0">
          <a:noFill/>
        </a:ln>
      </c:spPr>
    </c:title>
    <c:autoTitleDeleted val="0"/>
    <c:plotArea>
      <c:barChart>
        <c:barDir val="bar"/>
        <c:grouping val="clustered"/>
        <c:varyColors val="0"/>
        <c:ser>
          <c:idx val="0"/>
          <c:order val="0"/>
          <c:tx>
            <c:strRef>
              <c:f>'Pivot Tables'!C31</c:f>
              <c:strCache>
                <c:ptCount val="1"/>
                <c:pt idx="0">
                  <c:v>Total Revenue</c:v>
                </c:pt>
              </c:strCache>
            </c:strRef>
          </c:tx>
          <c:spPr>
            <a:solidFill>
              <a:srgbClr val="e63946"/>
            </a:solidFill>
            <a:ln w="9360">
              <a:noFill/>
            </a:ln>
          </c:spPr>
          <c:invertIfNegative val="0"/>
          <c:dLbls>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'Pivot Tables'!$B$32:$B$41</c:f>
              <c:strCache>
                <c:ptCount val="10"/>
                <c:pt idx="0">
                  <c:v>Isabella Rossi</c:v>
                </c:pt>
                <c:pt idx="1">
                  <c:v>Grace Kim</c:v>
                </c:pt>
                <c:pt idx="2">
                  <c:v>Olivia Bennett</c:v>
                </c:pt>
                <c:pt idx="3">
                  <c:v>Amara Johnson</c:v>
                </c:pt>
                <c:pt idx="4">
                  <c:v>Clara Dubois</c:v>
                </c:pt>
                <c:pt idx="5">
                  <c:v>Tom Ashworth</c:v>
                </c:pt>
                <c:pt idx="6">
                  <c:v>Marcus Reyes</c:v>
                </c:pt>
                <c:pt idx="7">
                  <c:v>Ingrid Solberg</c:v>
                </c:pt>
                <c:pt idx="8">
                  <c:v>James Whitfield</c:v>
                </c:pt>
                <c:pt idx="9">
                  <c:v>Karim Haddad</c:v>
                </c:pt>
              </c:strCache>
            </c:strRef>
          </c:cat>
          <c:val>
            <c:numRef>
              <c:f>'Pivot Tables'!$C$32:$C$41</c:f>
              <c:numCache>
                <c:formatCode>\$#,##0</c:formatCode>
                <c:ptCount val="10"/>
                <c:pt idx="0">
                  <c:v>2976056000</c:v>
                </c:pt>
                <c:pt idx="1">
                  <c:v>2720814000</c:v>
                </c:pt>
                <c:pt idx="2">
                  <c:v>2547597000</c:v>
                </c:pt>
                <c:pt idx="3">
                  <c:v>2062082000</c:v>
                </c:pt>
                <c:pt idx="4">
                  <c:v>1941688000</c:v>
                </c:pt>
                <c:pt idx="5">
                  <c:v>1839293000</c:v>
                </c:pt>
                <c:pt idx="6">
                  <c:v>1590974000</c:v>
                </c:pt>
                <c:pt idx="7">
                  <c:v>1563723000</c:v>
                </c:pt>
                <c:pt idx="8">
                  <c:v>1514682000</c:v>
                </c:pt>
                <c:pt idx="9">
                  <c:v>1459923000</c:v>
                </c:pt>
              </c:numCache>
            </c:numRef>
          </c:val>
        </c:ser>
        <c:gapWidth val="150"/>
        <c:overlap val="0"/>
        <c:axId val="22611082"/>
        <c:axId val="33411412"/>
      </c:barChart>
      <c:catAx>
        <c:axId val="22611082"/>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900" spc="-1" strike="noStrike">
                <a:solidFill>
                  <a:srgbClr val="8a8fa3"/>
                </a:solidFill>
                <a:latin typeface="Calibri"/>
              </a:defRPr>
            </a:pPr>
          </a:p>
        </c:txPr>
        <c:crossAx val="33411412"/>
        <c:crosses val="autoZero"/>
        <c:auto val="1"/>
        <c:lblAlgn val="ctr"/>
        <c:lblOffset val="100"/>
        <c:noMultiLvlLbl val="0"/>
      </c:catAx>
      <c:valAx>
        <c:axId val="33411412"/>
        <c:scaling>
          <c:orientation val="minMax"/>
        </c:scaling>
        <c:delete val="0"/>
        <c:axPos val="l"/>
        <c:majorGridlines>
          <c:spPr>
            <a:ln w="2880">
              <a:solidFill>
                <a:srgbClr val="2a3350"/>
              </a:solidFill>
              <a:round/>
            </a:ln>
          </c:spPr>
        </c:majorGridlines>
        <c:numFmt formatCode="\$#,##0" sourceLinked="0"/>
        <c:majorTickMark val="none"/>
        <c:minorTickMark val="none"/>
        <c:tickLblPos val="nextTo"/>
        <c:spPr>
          <a:ln w="9360">
            <a:solidFill>
              <a:srgbClr val="878787"/>
            </a:solidFill>
            <a:round/>
          </a:ln>
        </c:spPr>
        <c:txPr>
          <a:bodyPr/>
          <a:lstStyle/>
          <a:p>
            <a:pPr>
              <a:defRPr b="0" sz="900" spc="-1" strike="noStrike">
                <a:solidFill>
                  <a:srgbClr val="8a8fa3"/>
                </a:solidFill>
                <a:latin typeface="Calibri"/>
              </a:defRPr>
            </a:pPr>
          </a:p>
        </c:txPr>
        <c:crossAx val="22611082"/>
        <c:crosses val="autoZero"/>
        <c:crossBetween val="between"/>
      </c:valAx>
      <c:spPr>
        <a:solidFill>
          <a:srgbClr val="1b2438"/>
        </a:solidFill>
        <a:ln w="0">
          <a:noFill/>
        </a:ln>
      </c:spPr>
    </c:plotArea>
    <c:plotVisOnly val="1"/>
    <c:dispBlanksAs val="gap"/>
  </c:chart>
  <c:spPr>
    <a:solidFill>
      <a:srgbClr val="1b2438"/>
    </a:solidFill>
    <a:ln w="9360">
      <a:solidFill>
        <a:srgbClr val="2a3350"/>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f5c518"/>
                </a:solidFill>
                <a:latin typeface="Calibri"/>
              </a:defRPr>
            </a:pPr>
            <a:r>
              <a:rPr b="1" sz="1300" spc="-1" strike="noStrike">
                <a:solidFill>
                  <a:srgbClr val="f5c518"/>
                </a:solidFill>
                <a:latin typeface="Calibri"/>
              </a:rPr>
              <a:t>Language Distribution</a:t>
            </a:r>
          </a:p>
        </c:rich>
      </c:tx>
      <c:overlay val="0"/>
      <c:spPr>
        <a:noFill/>
        <a:ln w="0">
          <a:noFill/>
        </a:ln>
      </c:spPr>
    </c:title>
    <c:autoTitleDeleted val="0"/>
    <c:plotArea>
      <c:pieChart>
        <c:varyColors val="1"/>
        <c:ser>
          <c:idx val="0"/>
          <c:order val="0"/>
          <c:tx>
            <c:strRef>
              <c:f>'Pivot Tables'!L2</c:f>
              <c:strCache>
                <c:ptCount val="1"/>
                <c:pt idx="0">
                  <c:v>Movie Count</c:v>
                </c:pt>
              </c:strCache>
            </c:strRef>
          </c:tx>
          <c:spPr>
            <a:solidFill>
              <a:srgbClr val="f5c518"/>
            </a:solidFill>
            <a:ln w="0">
              <a:noFill/>
            </a:ln>
          </c:spPr>
          <c:explosion val="0"/>
          <c:dPt>
            <c:idx val="0"/>
            <c:spPr>
              <a:solidFill>
                <a:srgbClr val="f5c518"/>
              </a:solidFill>
              <a:ln w="0">
                <a:noFill/>
              </a:ln>
            </c:spPr>
          </c:dPt>
          <c:dPt>
            <c:idx val="1"/>
            <c:spPr>
              <a:solidFill>
                <a:srgbClr val="e63946"/>
              </a:solidFill>
              <a:ln w="0">
                <a:noFill/>
              </a:ln>
            </c:spPr>
          </c:dPt>
          <c:dPt>
            <c:idx val="2"/>
            <c:spPr>
              <a:solidFill>
                <a:srgbClr val="4c6ef5"/>
              </a:solidFill>
              <a:ln w="0">
                <a:noFill/>
              </a:ln>
            </c:spPr>
          </c:dPt>
          <c:dPt>
            <c:idx val="3"/>
            <c:spPr>
              <a:solidFill>
                <a:srgbClr val="2a9d8f"/>
              </a:solidFill>
              <a:ln w="0">
                <a:noFill/>
              </a:ln>
            </c:spPr>
          </c:dPt>
          <c:dPt>
            <c:idx val="4"/>
            <c:spPr>
              <a:solidFill>
                <a:srgbClr val="9b5de5"/>
              </a:solidFill>
              <a:ln w="0">
                <a:noFill/>
              </a:ln>
            </c:spPr>
          </c:dPt>
          <c:dPt>
            <c:idx val="5"/>
            <c:spPr>
              <a:solidFill>
                <a:srgbClr val="f77f00"/>
              </a:solidFill>
              <a:ln w="0">
                <a:noFill/>
              </a:ln>
            </c:spPr>
          </c:dPt>
          <c:dPt>
            <c:idx val="6"/>
            <c:spPr>
              <a:solidFill>
                <a:srgbClr val="06d6a0"/>
              </a:solidFill>
              <a:ln w="0">
                <a:noFill/>
              </a:ln>
            </c:spPr>
          </c:dPt>
          <c:dPt>
            <c:idx val="7"/>
            <c:spPr>
              <a:solidFill>
                <a:srgbClr val="ef476f"/>
              </a:solidFill>
              <a:ln w="0">
                <a:noFill/>
              </a:ln>
            </c:spPr>
          </c:dPt>
          <c:dPt>
            <c:idx val="8"/>
            <c:spPr>
              <a:solidFill>
                <a:srgbClr val="118ab2"/>
              </a:solidFill>
              <a:ln w="0">
                <a:noFill/>
              </a:ln>
            </c:spPr>
          </c:dPt>
          <c:dPt>
            <c:idx val="9"/>
            <c:spPr>
              <a:solidFill>
                <a:srgbClr val="ffd166"/>
              </a:solidFill>
              <a:ln w="0">
                <a:noFill/>
              </a:ln>
            </c:spPr>
          </c:dPt>
          <c:dPt>
            <c:idx val="10"/>
            <c:spPr>
              <a:solidFill>
                <a:srgbClr val="8338ec"/>
              </a:solidFill>
              <a:ln w="0">
                <a:noFill/>
              </a:ln>
            </c:spPr>
          </c:dPt>
          <c:dLbls>
            <c:dLbl>
              <c:idx val="0"/>
              <c:txPr>
                <a:bodyPr wrap="square"/>
                <a:lstStyle/>
                <a:p>
                  <a:pPr>
                    <a:defRPr b="1" sz="800" spc="-1" strike="noStrike">
                      <a:solidFill>
                        <a:srgbClr val="0d1321"/>
                      </a:solidFill>
                      <a:latin typeface="Calibri"/>
                    </a:defRPr>
                  </a:pPr>
                </a:p>
              </c:txPr>
              <c:dLblPos val="bestFit"/>
              <c:showLegendKey val="0"/>
              <c:showVal val="0"/>
              <c:showCatName val="0"/>
              <c:showSerName val="0"/>
              <c:showPercent val="1"/>
              <c:separator>
</c:separator>
            </c:dLbl>
            <c:dLbl>
              <c:idx val="1"/>
              <c:txPr>
                <a:bodyPr wrap="square"/>
                <a:lstStyle/>
                <a:p>
                  <a:pPr>
                    <a:defRPr b="1" sz="800" spc="-1" strike="noStrike">
                      <a:solidFill>
                        <a:srgbClr val="0d1321"/>
                      </a:solidFill>
                      <a:latin typeface="Calibri"/>
                    </a:defRPr>
                  </a:pPr>
                </a:p>
              </c:txPr>
              <c:dLblPos val="bestFit"/>
              <c:showLegendKey val="0"/>
              <c:showVal val="0"/>
              <c:showCatName val="0"/>
              <c:showSerName val="0"/>
              <c:showPercent val="1"/>
              <c:separator>
</c:separator>
            </c:dLbl>
            <c:dLbl>
              <c:idx val="2"/>
              <c:txPr>
                <a:bodyPr wrap="square"/>
                <a:lstStyle/>
                <a:p>
                  <a:pPr>
                    <a:defRPr b="1" sz="800" spc="-1" strike="noStrike">
                      <a:solidFill>
                        <a:srgbClr val="0d1321"/>
                      </a:solidFill>
                      <a:latin typeface="Calibri"/>
                    </a:defRPr>
                  </a:pPr>
                </a:p>
              </c:txPr>
              <c:dLblPos val="bestFit"/>
              <c:showLegendKey val="0"/>
              <c:showVal val="0"/>
              <c:showCatName val="0"/>
              <c:showSerName val="0"/>
              <c:showPercent val="1"/>
              <c:separator>
</c:separator>
            </c:dLbl>
            <c:dLbl>
              <c:idx val="3"/>
              <c:txPr>
                <a:bodyPr wrap="square"/>
                <a:lstStyle/>
                <a:p>
                  <a:pPr>
                    <a:defRPr b="1" sz="800" spc="-1" strike="noStrike">
                      <a:solidFill>
                        <a:srgbClr val="0d1321"/>
                      </a:solidFill>
                      <a:latin typeface="Calibri"/>
                    </a:defRPr>
                  </a:pPr>
                </a:p>
              </c:txPr>
              <c:dLblPos val="bestFit"/>
              <c:showLegendKey val="0"/>
              <c:showVal val="0"/>
              <c:showCatName val="0"/>
              <c:showSerName val="0"/>
              <c:showPercent val="1"/>
              <c:separator>
</c:separator>
            </c:dLbl>
            <c:dLbl>
              <c:idx val="4"/>
              <c:txPr>
                <a:bodyPr wrap="square"/>
                <a:lstStyle/>
                <a:p>
                  <a:pPr>
                    <a:defRPr b="1" sz="800" spc="-1" strike="noStrike">
                      <a:solidFill>
                        <a:srgbClr val="0d1321"/>
                      </a:solidFill>
                      <a:latin typeface="Calibri"/>
                    </a:defRPr>
                  </a:pPr>
                </a:p>
              </c:txPr>
              <c:dLblPos val="bestFit"/>
              <c:showLegendKey val="0"/>
              <c:showVal val="0"/>
              <c:showCatName val="0"/>
              <c:showSerName val="0"/>
              <c:showPercent val="1"/>
              <c:separator>
</c:separator>
            </c:dLbl>
            <c:dLbl>
              <c:idx val="5"/>
              <c:txPr>
                <a:bodyPr wrap="square"/>
                <a:lstStyle/>
                <a:p>
                  <a:pPr>
                    <a:defRPr b="1" sz="800" spc="-1" strike="noStrike">
                      <a:solidFill>
                        <a:srgbClr val="0d1321"/>
                      </a:solidFill>
                      <a:latin typeface="Calibri"/>
                    </a:defRPr>
                  </a:pPr>
                </a:p>
              </c:txPr>
              <c:dLblPos val="bestFit"/>
              <c:showLegendKey val="0"/>
              <c:showVal val="0"/>
              <c:showCatName val="0"/>
              <c:showSerName val="0"/>
              <c:showPercent val="1"/>
              <c:separator>
</c:separator>
            </c:dLbl>
            <c:dLbl>
              <c:idx val="6"/>
              <c:txPr>
                <a:bodyPr wrap="square"/>
                <a:lstStyle/>
                <a:p>
                  <a:pPr>
                    <a:defRPr b="1" sz="800" spc="-1" strike="noStrike">
                      <a:solidFill>
                        <a:srgbClr val="0d1321"/>
                      </a:solidFill>
                      <a:latin typeface="Calibri"/>
                    </a:defRPr>
                  </a:pPr>
                </a:p>
              </c:txPr>
              <c:dLblPos val="bestFit"/>
              <c:showLegendKey val="0"/>
              <c:showVal val="0"/>
              <c:showCatName val="0"/>
              <c:showSerName val="0"/>
              <c:showPercent val="1"/>
              <c:separator>
</c:separator>
            </c:dLbl>
            <c:dLbl>
              <c:idx val="7"/>
              <c:txPr>
                <a:bodyPr wrap="square"/>
                <a:lstStyle/>
                <a:p>
                  <a:pPr>
                    <a:defRPr b="1" sz="800" spc="-1" strike="noStrike">
                      <a:solidFill>
                        <a:srgbClr val="0d1321"/>
                      </a:solidFill>
                      <a:latin typeface="Calibri"/>
                    </a:defRPr>
                  </a:pPr>
                </a:p>
              </c:txPr>
              <c:dLblPos val="bestFit"/>
              <c:showLegendKey val="0"/>
              <c:showVal val="0"/>
              <c:showCatName val="0"/>
              <c:showSerName val="0"/>
              <c:showPercent val="1"/>
              <c:separator>
</c:separator>
            </c:dLbl>
            <c:dLbl>
              <c:idx val="8"/>
              <c:txPr>
                <a:bodyPr wrap="square"/>
                <a:lstStyle/>
                <a:p>
                  <a:pPr>
                    <a:defRPr b="1" sz="800" spc="-1" strike="noStrike">
                      <a:solidFill>
                        <a:srgbClr val="0d1321"/>
                      </a:solidFill>
                      <a:latin typeface="Calibri"/>
                    </a:defRPr>
                  </a:pPr>
                </a:p>
              </c:txPr>
              <c:dLblPos val="bestFit"/>
              <c:showLegendKey val="0"/>
              <c:showVal val="0"/>
              <c:showCatName val="0"/>
              <c:showSerName val="0"/>
              <c:showPercent val="1"/>
              <c:separator>
</c:separator>
            </c:dLbl>
            <c:dLbl>
              <c:idx val="9"/>
              <c:txPr>
                <a:bodyPr wrap="square"/>
                <a:lstStyle/>
                <a:p>
                  <a:pPr>
                    <a:defRPr b="1" sz="800" spc="-1" strike="noStrike">
                      <a:solidFill>
                        <a:srgbClr val="0d1321"/>
                      </a:solidFill>
                      <a:latin typeface="Calibri"/>
                    </a:defRPr>
                  </a:pPr>
                </a:p>
              </c:txPr>
              <c:dLblPos val="bestFit"/>
              <c:showLegendKey val="0"/>
              <c:showVal val="0"/>
              <c:showCatName val="0"/>
              <c:showSerName val="0"/>
              <c:showPercent val="1"/>
              <c:separator>
</c:separator>
            </c:dLbl>
            <c:dLbl>
              <c:idx val="10"/>
              <c:txPr>
                <a:bodyPr wrap="square"/>
                <a:lstStyle/>
                <a:p>
                  <a:pPr>
                    <a:defRPr b="1" sz="800" spc="-1" strike="noStrike">
                      <a:solidFill>
                        <a:srgbClr val="0d1321"/>
                      </a:solidFill>
                      <a:latin typeface="Calibri"/>
                    </a:defRPr>
                  </a:pPr>
                </a:p>
              </c:txPr>
              <c:dLblPos val="bestFit"/>
              <c:showLegendKey val="0"/>
              <c:showVal val="0"/>
              <c:showCatName val="0"/>
              <c:showSerName val="0"/>
              <c:showPercent val="1"/>
              <c:separator>
</c:separator>
            </c:dLbl>
            <c:txPr>
              <a:bodyPr wrap="square"/>
              <a:lstStyle/>
              <a:p>
                <a:pPr>
                  <a:defRPr b="1" sz="800" spc="-1" strike="noStrike">
                    <a:solidFill>
                      <a:srgbClr val="0d1321"/>
                    </a:solidFill>
                    <a:latin typeface="Calibri"/>
                  </a:defRPr>
                </a:pPr>
              </a:p>
            </c:txPr>
            <c:dLblPos val="bestFit"/>
            <c:showLegendKey val="0"/>
            <c:showVal val="0"/>
            <c:showCatName val="0"/>
            <c:showSerName val="0"/>
            <c:showPercent val="1"/>
            <c:separator>
</c:separator>
            <c:showLeaderLines val="1"/>
          </c:dLbls>
          <c:cat>
            <c:strRef>
              <c:f>'Pivot Tables'!$K$3:$K$13</c:f>
              <c:strCache>
                <c:ptCount val="11"/>
                <c:pt idx="0">
                  <c:v>English</c:v>
                </c:pt>
                <c:pt idx="1">
                  <c:v>French</c:v>
                </c:pt>
                <c:pt idx="2">
                  <c:v>German</c:v>
                </c:pt>
                <c:pt idx="3">
                  <c:v>Hindi</c:v>
                </c:pt>
                <c:pt idx="4">
                  <c:v>Italian</c:v>
                </c:pt>
                <c:pt idx="5">
                  <c:v>Japanese</c:v>
                </c:pt>
                <c:pt idx="6">
                  <c:v>Korean</c:v>
                </c:pt>
                <c:pt idx="7">
                  <c:v>Mandarin</c:v>
                </c:pt>
                <c:pt idx="8">
                  <c:v>Portuguese</c:v>
                </c:pt>
                <c:pt idx="9">
                  <c:v>Spanish</c:v>
                </c:pt>
                <c:pt idx="10">
                  <c:v>Unknown</c:v>
                </c:pt>
              </c:strCache>
            </c:strRef>
          </c:cat>
          <c:val>
            <c:numRef>
              <c:f>'Pivot Tables'!$L$3:$L$13</c:f>
              <c:numCache>
                <c:formatCode>General</c:formatCode>
                <c:ptCount val="11"/>
                <c:pt idx="0">
                  <c:v>13</c:v>
                </c:pt>
                <c:pt idx="1">
                  <c:v>24</c:v>
                </c:pt>
                <c:pt idx="2">
                  <c:v>30</c:v>
                </c:pt>
                <c:pt idx="3">
                  <c:v>24</c:v>
                </c:pt>
                <c:pt idx="4">
                  <c:v>27</c:v>
                </c:pt>
                <c:pt idx="5">
                  <c:v>16</c:v>
                </c:pt>
                <c:pt idx="6">
                  <c:v>19</c:v>
                </c:pt>
                <c:pt idx="7">
                  <c:v>25</c:v>
                </c:pt>
                <c:pt idx="8">
                  <c:v>24</c:v>
                </c:pt>
                <c:pt idx="9">
                  <c:v>17</c:v>
                </c:pt>
                <c:pt idx="10">
                  <c:v>3</c:v>
                </c:pt>
              </c:numCache>
            </c:numRef>
          </c:val>
        </c:ser>
        <c:firstSliceAng val="0"/>
      </c:pieChart>
      <c:spPr>
        <a:solidFill>
          <a:srgbClr val="1b2438"/>
        </a:solidFill>
        <a:ln w="0">
          <a:noFill/>
        </a:ln>
      </c:spPr>
    </c:plotArea>
    <c:legend>
      <c:legendPos val="b"/>
      <c:overlay val="0"/>
      <c:spPr>
        <a:noFill/>
        <a:ln w="0">
          <a:noFill/>
        </a:ln>
      </c:spPr>
      <c:txPr>
        <a:bodyPr/>
        <a:lstStyle/>
        <a:p>
          <a:pPr>
            <a:defRPr b="0" sz="850" spc="-1" strike="noStrike">
              <a:solidFill>
                <a:srgbClr val="f1f1f1"/>
              </a:solidFill>
              <a:latin typeface="Calibri"/>
            </a:defRPr>
          </a:pPr>
        </a:p>
      </c:txPr>
    </c:legend>
    <c:plotVisOnly val="1"/>
    <c:dispBlanksAs val="gap"/>
  </c:chart>
  <c:spPr>
    <a:solidFill>
      <a:srgbClr val="1b2438"/>
    </a:solidFill>
    <a:ln w="9360">
      <a:solidFill>
        <a:srgbClr val="2a3350"/>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a:solidFill>
                  <a:srgbClr val="f5c518"/>
                </a:solidFill>
                <a:latin typeface="Calibri"/>
              </a:defRPr>
            </a:pPr>
            <a:r>
              <a:rPr b="1" sz="1300" spc="-1" strike="noStrike">
                <a:solidFill>
                  <a:srgbClr val="f5c518"/>
                </a:solidFill>
                <a:latin typeface="Calibri"/>
              </a:rPr>
              <a:t>IMDb Rating Distribution (Movie Count by Band)</a:t>
            </a:r>
          </a:p>
        </c:rich>
      </c:tx>
      <c:overlay val="0"/>
      <c:spPr>
        <a:noFill/>
        <a:ln w="0">
          <a:noFill/>
        </a:ln>
      </c:spPr>
    </c:title>
    <c:autoTitleDeleted val="0"/>
    <c:plotArea>
      <c:barChart>
        <c:barDir val="col"/>
        <c:grouping val="clustered"/>
        <c:varyColors val="0"/>
        <c:ser>
          <c:idx val="0"/>
          <c:order val="0"/>
          <c:tx>
            <c:strRef>
              <c:f>'Pivot Tables'!B46</c:f>
              <c:strCache>
                <c:ptCount val="1"/>
                <c:pt idx="0">
                  <c:v>Movie Count</c:v>
                </c:pt>
              </c:strCache>
            </c:strRef>
          </c:tx>
          <c:spPr>
            <a:solidFill>
              <a:srgbClr val="2a9d8f"/>
            </a:solidFill>
            <a:ln w="9360">
              <a:noFill/>
            </a:ln>
          </c:spPr>
          <c:invertIfNegative val="0"/>
          <c:dLbls>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'Pivot Tables'!$A$47:$A$54</c:f>
              <c:strCache>
                <c:ptCount val="8"/>
                <c:pt idx="0">
                  <c:v>2.0 - 3.0</c:v>
                </c:pt>
                <c:pt idx="1">
                  <c:v>3.0 - 4.0</c:v>
                </c:pt>
                <c:pt idx="2">
                  <c:v>4.0 - 5.0</c:v>
                </c:pt>
                <c:pt idx="3">
                  <c:v>5.0 - 6.0</c:v>
                </c:pt>
                <c:pt idx="4">
                  <c:v>6.0 - 7.0</c:v>
                </c:pt>
                <c:pt idx="5">
                  <c:v>7.0 - 8.0</c:v>
                </c:pt>
                <c:pt idx="6">
                  <c:v>8.0 - 9.0</c:v>
                </c:pt>
                <c:pt idx="7">
                  <c:v>9.0 - 9.5</c:v>
                </c:pt>
              </c:strCache>
            </c:strRef>
          </c:cat>
          <c:val>
            <c:numRef>
              <c:f>'Pivot Tables'!$B$47:$B$54</c:f>
              <c:numCache>
                <c:formatCode>General</c:formatCode>
                <c:ptCount val="8"/>
                <c:pt idx="0">
                  <c:v>1</c:v>
                </c:pt>
                <c:pt idx="1">
                  <c:v>1</c:v>
                </c:pt>
                <c:pt idx="2">
                  <c:v>12</c:v>
                </c:pt>
                <c:pt idx="3">
                  <c:v>49</c:v>
                </c:pt>
                <c:pt idx="4">
                  <c:v>88</c:v>
                </c:pt>
                <c:pt idx="5">
                  <c:v>47</c:v>
                </c:pt>
                <c:pt idx="6">
                  <c:v>19</c:v>
                </c:pt>
                <c:pt idx="7">
                  <c:v>5</c:v>
                </c:pt>
              </c:numCache>
            </c:numRef>
          </c:val>
        </c:ser>
        <c:gapWidth val="150"/>
        <c:overlap val="0"/>
        <c:axId val="5118824"/>
        <c:axId val="73734916"/>
      </c:barChart>
      <c:catAx>
        <c:axId val="5118824"/>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900" spc="-1" strike="noStrike">
                <a:solidFill>
                  <a:srgbClr val="8a8fa3"/>
                </a:solidFill>
                <a:latin typeface="Calibri"/>
              </a:defRPr>
            </a:pPr>
          </a:p>
        </c:txPr>
        <c:crossAx val="73734916"/>
        <c:crosses val="autoZero"/>
        <c:auto val="1"/>
        <c:lblAlgn val="ctr"/>
        <c:lblOffset val="100"/>
        <c:noMultiLvlLbl val="0"/>
      </c:catAx>
      <c:valAx>
        <c:axId val="73734916"/>
        <c:scaling>
          <c:orientation val="minMax"/>
        </c:scaling>
        <c:delete val="0"/>
        <c:axPos val="l"/>
        <c:majorGridlines>
          <c:spPr>
            <a:ln w="2880">
              <a:solidFill>
                <a:srgbClr val="2a3350"/>
              </a:solidFill>
              <a:round/>
            </a:ln>
          </c:spPr>
        </c:majorGridlines>
        <c:numFmt formatCode="General" sourceLinked="0"/>
        <c:majorTickMark val="none"/>
        <c:minorTickMark val="none"/>
        <c:tickLblPos val="nextTo"/>
        <c:spPr>
          <a:ln w="9360">
            <a:solidFill>
              <a:srgbClr val="878787"/>
            </a:solidFill>
            <a:round/>
          </a:ln>
        </c:spPr>
        <c:txPr>
          <a:bodyPr/>
          <a:lstStyle/>
          <a:p>
            <a:pPr>
              <a:defRPr b="0" sz="900" spc="-1" strike="noStrike">
                <a:solidFill>
                  <a:srgbClr val="8a8fa3"/>
                </a:solidFill>
                <a:latin typeface="Calibri"/>
              </a:defRPr>
            </a:pPr>
          </a:p>
        </c:txPr>
        <c:crossAx val="5118824"/>
        <c:crosses val="autoZero"/>
        <c:crossBetween val="between"/>
      </c:valAx>
      <c:spPr>
        <a:solidFill>
          <a:srgbClr val="1b2438"/>
        </a:solidFill>
        <a:ln w="0">
          <a:noFill/>
        </a:ln>
      </c:spPr>
    </c:plotArea>
    <c:plotVisOnly val="1"/>
    <c:dispBlanksAs val="gap"/>
  </c:chart>
  <c:spPr>
    <a:solidFill>
      <a:srgbClr val="1b2438"/>
    </a:solidFill>
    <a:ln w="9360">
      <a:solidFill>
        <a:srgbClr val="2a3350"/>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11</xdr:row>
      <xdr:rowOff>0</xdr:rowOff>
    </xdr:from>
    <xdr:to>
      <xdr:col>9</xdr:col>
      <xdr:colOff>636840</xdr:colOff>
      <xdr:row>28</xdr:row>
      <xdr:rowOff>180720</xdr:rowOff>
    </xdr:to>
    <xdr:graphicFrame>
      <xdr:nvGraphicFramePr>
        <xdr:cNvPr id="0" name="Chart 1"/>
        <xdr:cNvGraphicFramePr/>
      </xdr:nvGraphicFramePr>
      <xdr:xfrm>
        <a:off x="141120" y="2676600"/>
        <a:ext cx="6839280" cy="341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11</xdr:row>
      <xdr:rowOff>0</xdr:rowOff>
    </xdr:from>
    <xdr:to>
      <xdr:col>19</xdr:col>
      <xdr:colOff>636840</xdr:colOff>
      <xdr:row>28</xdr:row>
      <xdr:rowOff>180720</xdr:rowOff>
    </xdr:to>
    <xdr:graphicFrame>
      <xdr:nvGraphicFramePr>
        <xdr:cNvPr id="1" name="Chart 2"/>
        <xdr:cNvGraphicFramePr/>
      </xdr:nvGraphicFramePr>
      <xdr:xfrm>
        <a:off x="7894440" y="2676600"/>
        <a:ext cx="6839280" cy="341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29</xdr:row>
      <xdr:rowOff>0</xdr:rowOff>
    </xdr:from>
    <xdr:to>
      <xdr:col>9</xdr:col>
      <xdr:colOff>636840</xdr:colOff>
      <xdr:row>46</xdr:row>
      <xdr:rowOff>180720</xdr:rowOff>
    </xdr:to>
    <xdr:graphicFrame>
      <xdr:nvGraphicFramePr>
        <xdr:cNvPr id="2" name="Chart 3"/>
        <xdr:cNvGraphicFramePr/>
      </xdr:nvGraphicFramePr>
      <xdr:xfrm>
        <a:off x="141120" y="6105600"/>
        <a:ext cx="6839280" cy="34192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0</xdr:colOff>
      <xdr:row>29</xdr:row>
      <xdr:rowOff>0</xdr:rowOff>
    </xdr:from>
    <xdr:to>
      <xdr:col>19</xdr:col>
      <xdr:colOff>636840</xdr:colOff>
      <xdr:row>46</xdr:row>
      <xdr:rowOff>180720</xdr:rowOff>
    </xdr:to>
    <xdr:graphicFrame>
      <xdr:nvGraphicFramePr>
        <xdr:cNvPr id="3" name="Chart 4"/>
        <xdr:cNvGraphicFramePr/>
      </xdr:nvGraphicFramePr>
      <xdr:xfrm>
        <a:off x="7894440" y="6105600"/>
        <a:ext cx="6839280" cy="34192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47</xdr:row>
      <xdr:rowOff>0</xdr:rowOff>
    </xdr:from>
    <xdr:to>
      <xdr:col>9</xdr:col>
      <xdr:colOff>636840</xdr:colOff>
      <xdr:row>64</xdr:row>
      <xdr:rowOff>180720</xdr:rowOff>
    </xdr:to>
    <xdr:graphicFrame>
      <xdr:nvGraphicFramePr>
        <xdr:cNvPr id="4" name="Chart 5"/>
        <xdr:cNvGraphicFramePr/>
      </xdr:nvGraphicFramePr>
      <xdr:xfrm>
        <a:off x="141120" y="9534600"/>
        <a:ext cx="6839280" cy="341928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0</xdr:colOff>
      <xdr:row>47</xdr:row>
      <xdr:rowOff>0</xdr:rowOff>
    </xdr:from>
    <xdr:to>
      <xdr:col>19</xdr:col>
      <xdr:colOff>636840</xdr:colOff>
      <xdr:row>64</xdr:row>
      <xdr:rowOff>180720</xdr:rowOff>
    </xdr:to>
    <xdr:graphicFrame>
      <xdr:nvGraphicFramePr>
        <xdr:cNvPr id="5" name="Chart 6"/>
        <xdr:cNvGraphicFramePr/>
      </xdr:nvGraphicFramePr>
      <xdr:xfrm>
        <a:off x="7894440" y="9534600"/>
        <a:ext cx="6839280" cy="341928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ables/table1.xml><?xml version="1.0" encoding="utf-8"?>
<table xmlns="http://schemas.openxmlformats.org/spreadsheetml/2006/main" id="1" name="tblMovies" displayName="tblMovies" ref="A4:N226" headerRowCount="1" totalsRowCount="0" totalsRowShown="0">
  <autoFilter ref="A4:N226"/>
  <tableColumns count="14">
    <tableColumn id="1" name="Movie ID"/>
    <tableColumn id="2" name="Movie Title"/>
    <tableColumn id="3" name="Genre"/>
    <tableColumn id="4" name="Director"/>
    <tableColumn id="5" name="Release Year"/>
    <tableColumn id="6" name="Budget"/>
    <tableColumn id="7" name="Revenue"/>
    <tableColumn id="8" name="IMDb Rating"/>
    <tableColumn id="9" name="Runtime"/>
    <tableColumn id="10" name="Language"/>
    <tableColumn id="11" name="Production Company"/>
    <tableColumn id="12" name="Country"/>
    <tableColumn id="13" name="Profit"/>
    <tableColumn id="14" name="ROI %"/>
  </tableColumns>
</table>
</file>

<file path=xl/tables/table2.xml><?xml version="1.0" encoding="utf-8"?>
<table xmlns="http://schemas.openxmlformats.org/spreadsheetml/2006/main" id="2" name="tblRaw" displayName="tblRaw" ref="A4:K242" headerRowCount="1" totalsRowCount="0" totalsRowShown="0">
  <autoFilter ref="A4:K242"/>
  <tableColumns count="11">
    <tableColumn id="1" name="Movie Title"/>
    <tableColumn id="2" name="Genre"/>
    <tableColumn id="3" name="Director"/>
    <tableColumn id="4" name="Release Year"/>
    <tableColumn id="5" name="Budget"/>
    <tableColumn id="6" name="Revenue"/>
    <tableColumn id="7" name="IMDb Rating"/>
    <tableColumn id="8" name="Runtime"/>
    <tableColumn id="9" name="Language"/>
    <tableColumn id="10" name="Production Company"/>
    <tableColumn id="11" name="Country"/>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3946"/>
    <pageSetUpPr fitToPage="false"/>
  </sheetPr>
  <dimension ref="A1:Y89"/>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1" min="2" style="1" width="11"/>
  </cols>
  <sheetData>
    <row r="1" customFormat="false" ht="15" hidden="false" customHeight="false" outlineLevel="0" collapsed="false">
      <c r="A1" s="2"/>
      <c r="B1" s="2"/>
      <c r="C1" s="2"/>
      <c r="D1" s="2"/>
      <c r="E1" s="2"/>
      <c r="F1" s="2"/>
      <c r="G1" s="2"/>
      <c r="H1" s="2"/>
      <c r="I1" s="2"/>
      <c r="J1" s="2"/>
      <c r="K1" s="2"/>
      <c r="L1" s="2"/>
      <c r="M1" s="2"/>
      <c r="N1" s="2"/>
      <c r="O1" s="2"/>
      <c r="P1" s="2"/>
      <c r="Q1" s="2"/>
      <c r="R1" s="2"/>
      <c r="S1" s="2"/>
      <c r="T1" s="2"/>
      <c r="U1" s="2"/>
    </row>
    <row r="2" customFormat="false" ht="30" hidden="false" customHeight="true" outlineLevel="0" collapsed="false">
      <c r="A2" s="2"/>
      <c r="B2" s="3" t="s">
        <v>0</v>
      </c>
      <c r="C2" s="3"/>
      <c r="D2" s="3"/>
      <c r="E2" s="3"/>
      <c r="F2" s="3"/>
      <c r="G2" s="3"/>
      <c r="H2" s="3"/>
      <c r="I2" s="3"/>
      <c r="J2" s="3"/>
      <c r="K2" s="3"/>
      <c r="L2" s="3"/>
      <c r="M2" s="3"/>
      <c r="N2" s="3"/>
      <c r="O2" s="3"/>
      <c r="P2" s="3"/>
      <c r="Q2" s="3"/>
      <c r="R2" s="3"/>
      <c r="S2" s="3"/>
      <c r="T2" s="3"/>
      <c r="U2" s="2"/>
    </row>
    <row r="3" customFormat="false" ht="18" hidden="false" customHeight="true" outlineLevel="0" collapsed="false">
      <c r="A3" s="2"/>
      <c r="B3" s="4" t="s">
        <v>1</v>
      </c>
      <c r="C3" s="4"/>
      <c r="D3" s="4"/>
      <c r="E3" s="4"/>
      <c r="F3" s="4"/>
      <c r="G3" s="4"/>
      <c r="H3" s="4"/>
      <c r="I3" s="4"/>
      <c r="J3" s="4"/>
      <c r="K3" s="4"/>
      <c r="L3" s="4"/>
      <c r="M3" s="4"/>
      <c r="N3" s="4"/>
      <c r="O3" s="4"/>
      <c r="P3" s="4"/>
      <c r="Q3" s="4"/>
      <c r="R3" s="4"/>
      <c r="S3" s="4"/>
      <c r="T3" s="4"/>
      <c r="U3" s="2"/>
    </row>
    <row r="4" customFormat="false" ht="15" hidden="false" customHeight="false" outlineLevel="0" collapsed="false">
      <c r="A4" s="2"/>
      <c r="B4" s="2"/>
      <c r="C4" s="2"/>
      <c r="D4" s="2"/>
      <c r="E4" s="2"/>
      <c r="F4" s="2"/>
      <c r="G4" s="2"/>
      <c r="H4" s="2"/>
      <c r="I4" s="2"/>
      <c r="J4" s="2"/>
      <c r="K4" s="2"/>
      <c r="L4" s="2"/>
      <c r="M4" s="2"/>
      <c r="N4" s="2"/>
      <c r="O4" s="2"/>
      <c r="P4" s="2"/>
      <c r="Q4" s="2"/>
      <c r="R4" s="2"/>
      <c r="S4" s="2"/>
      <c r="T4" s="2"/>
      <c r="U4" s="2"/>
    </row>
    <row r="5" customFormat="false" ht="18" hidden="false" customHeight="true" outlineLevel="0" collapsed="false">
      <c r="A5" s="2"/>
      <c r="B5" s="5" t="s">
        <v>2</v>
      </c>
      <c r="C5" s="5"/>
      <c r="D5" s="5"/>
      <c r="E5" s="5"/>
      <c r="F5" s="2"/>
      <c r="G5" s="5" t="s">
        <v>3</v>
      </c>
      <c r="H5" s="5"/>
      <c r="I5" s="5"/>
      <c r="J5" s="5"/>
      <c r="K5" s="2"/>
      <c r="L5" s="5" t="s">
        <v>4</v>
      </c>
      <c r="M5" s="5"/>
      <c r="N5" s="5"/>
      <c r="O5" s="5"/>
      <c r="P5" s="2"/>
      <c r="Q5" s="5" t="s">
        <v>5</v>
      </c>
      <c r="R5" s="5"/>
      <c r="S5" s="5"/>
      <c r="T5" s="5"/>
      <c r="U5" s="2"/>
      <c r="V5" s="5" t="s">
        <v>6</v>
      </c>
      <c r="W5" s="5"/>
      <c r="X5" s="5"/>
      <c r="Y5" s="5"/>
    </row>
    <row r="6" customFormat="false" ht="15" hidden="false" customHeight="false" outlineLevel="0" collapsed="false">
      <c r="A6" s="2"/>
      <c r="B6" s="5"/>
      <c r="C6" s="5"/>
      <c r="D6" s="5"/>
      <c r="E6" s="5"/>
      <c r="F6" s="2"/>
      <c r="G6" s="5"/>
      <c r="H6" s="5"/>
      <c r="I6" s="5"/>
      <c r="J6" s="5"/>
      <c r="K6" s="2"/>
      <c r="L6" s="5"/>
      <c r="M6" s="5"/>
      <c r="N6" s="5"/>
      <c r="O6" s="5"/>
      <c r="P6" s="2"/>
      <c r="Q6" s="5"/>
      <c r="R6" s="5"/>
      <c r="S6" s="5"/>
      <c r="T6" s="5"/>
      <c r="U6" s="2"/>
      <c r="V6" s="5"/>
      <c r="W6" s="5"/>
      <c r="X6" s="5"/>
      <c r="Y6" s="5"/>
    </row>
    <row r="7" customFormat="false" ht="39.75" hidden="false" customHeight="true" outlineLevel="0" collapsed="false">
      <c r="A7" s="2"/>
      <c r="B7" s="6" t="n">
        <f aca="false">COUNTA('Cleaned Data'!$B$5:$B$226)</f>
        <v>222</v>
      </c>
      <c r="C7" s="6"/>
      <c r="D7" s="6"/>
      <c r="E7" s="6"/>
      <c r="F7" s="2"/>
      <c r="G7" s="7" t="n">
        <f aca="false">SUM('Cleaned Data'!$G$5:$G$226)</f>
        <v>35425484000</v>
      </c>
      <c r="H7" s="7"/>
      <c r="I7" s="7"/>
      <c r="J7" s="7"/>
      <c r="K7" s="2"/>
      <c r="L7" s="8" t="n">
        <f aca="false">AVERAGE('Cleaned Data'!$H$5:$H$226)</f>
        <v>6.56936936936937</v>
      </c>
      <c r="M7" s="8"/>
      <c r="N7" s="8"/>
      <c r="O7" s="8"/>
      <c r="P7" s="2"/>
      <c r="Q7" s="9" t="n">
        <f aca="false">AVERAGE('Cleaned Data'!$I$5:$I$226)</f>
        <v>112.756756756757</v>
      </c>
      <c r="R7" s="9"/>
      <c r="S7" s="9"/>
      <c r="T7" s="9"/>
      <c r="U7" s="2"/>
      <c r="V7" s="6" t="n">
        <f aca="false">COUNTA('Pivot Tables'!$F$3:$F$14)</f>
        <v>12</v>
      </c>
      <c r="W7" s="6"/>
      <c r="X7" s="6"/>
      <c r="Y7" s="6"/>
    </row>
    <row r="8" customFormat="false" ht="15" hidden="false" customHeight="false" outlineLevel="0" collapsed="false">
      <c r="A8" s="2"/>
      <c r="B8" s="6"/>
      <c r="C8" s="6"/>
      <c r="D8" s="6"/>
      <c r="E8" s="6"/>
      <c r="F8" s="2"/>
      <c r="G8" s="7"/>
      <c r="H8" s="7"/>
      <c r="I8" s="7"/>
      <c r="J8" s="7"/>
      <c r="K8" s="2"/>
      <c r="L8" s="8"/>
      <c r="M8" s="8"/>
      <c r="N8" s="8"/>
      <c r="O8" s="8"/>
      <c r="P8" s="2"/>
      <c r="Q8" s="9"/>
      <c r="R8" s="9"/>
      <c r="S8" s="9"/>
      <c r="T8" s="9"/>
      <c r="U8" s="2"/>
      <c r="V8" s="6"/>
      <c r="W8" s="6"/>
      <c r="X8" s="6"/>
      <c r="Y8" s="6"/>
    </row>
    <row r="9" customFormat="false" ht="15" hidden="false" customHeight="false" outlineLevel="0" collapsed="false">
      <c r="A9" s="2"/>
      <c r="B9" s="6"/>
      <c r="C9" s="6"/>
      <c r="D9" s="6"/>
      <c r="E9" s="6"/>
      <c r="F9" s="2"/>
      <c r="G9" s="7"/>
      <c r="H9" s="7"/>
      <c r="I9" s="7"/>
      <c r="J9" s="7"/>
      <c r="K9" s="2"/>
      <c r="L9" s="8"/>
      <c r="M9" s="8"/>
      <c r="N9" s="8"/>
      <c r="O9" s="8"/>
      <c r="P9" s="2"/>
      <c r="Q9" s="9"/>
      <c r="R9" s="9"/>
      <c r="S9" s="9"/>
      <c r="T9" s="9"/>
      <c r="U9" s="2"/>
      <c r="V9" s="6"/>
      <c r="W9" s="6"/>
      <c r="X9" s="6"/>
      <c r="Y9" s="6"/>
    </row>
    <row r="10" customFormat="false" ht="15" hidden="false" customHeight="false" outlineLevel="0" collapsed="false">
      <c r="A10" s="2"/>
      <c r="B10" s="2"/>
      <c r="C10" s="2"/>
      <c r="D10" s="2"/>
      <c r="E10" s="2"/>
      <c r="F10" s="2"/>
      <c r="G10" s="2"/>
      <c r="H10" s="2"/>
      <c r="I10" s="2"/>
      <c r="J10" s="2"/>
      <c r="K10" s="2"/>
      <c r="L10" s="2"/>
      <c r="M10" s="2"/>
      <c r="N10" s="2"/>
      <c r="O10" s="2"/>
      <c r="P10" s="2"/>
      <c r="Q10" s="2"/>
      <c r="R10" s="2"/>
      <c r="S10" s="2"/>
      <c r="T10" s="2"/>
      <c r="U10" s="2"/>
    </row>
    <row r="11" customFormat="false" ht="15" hidden="false" customHeight="false" outlineLevel="0" collapsed="false">
      <c r="A11" s="2"/>
      <c r="B11" s="2"/>
      <c r="C11" s="2"/>
      <c r="D11" s="2"/>
      <c r="E11" s="2"/>
      <c r="F11" s="2"/>
      <c r="G11" s="2"/>
      <c r="H11" s="2"/>
      <c r="I11" s="2"/>
      <c r="J11" s="2"/>
      <c r="K11" s="2"/>
      <c r="L11" s="2"/>
      <c r="M11" s="2"/>
      <c r="N11" s="2"/>
      <c r="O11" s="2"/>
      <c r="P11" s="2"/>
      <c r="Q11" s="2"/>
      <c r="R11" s="2"/>
      <c r="S11" s="2"/>
      <c r="T11" s="2"/>
      <c r="U11" s="2"/>
    </row>
    <row r="12" customFormat="false" ht="15" hidden="false" customHeight="false" outlineLevel="0" collapsed="false">
      <c r="A12" s="2"/>
      <c r="B12" s="2"/>
      <c r="C12" s="2"/>
      <c r="D12" s="2"/>
      <c r="E12" s="2"/>
      <c r="F12" s="2"/>
      <c r="G12" s="2"/>
      <c r="H12" s="2"/>
      <c r="I12" s="2"/>
      <c r="J12" s="2"/>
      <c r="K12" s="2"/>
      <c r="L12" s="2"/>
      <c r="M12" s="2"/>
      <c r="N12" s="2"/>
      <c r="O12" s="2"/>
      <c r="P12" s="2"/>
      <c r="Q12" s="2"/>
      <c r="R12" s="2"/>
      <c r="S12" s="2"/>
      <c r="T12" s="2"/>
      <c r="U12" s="2"/>
    </row>
    <row r="13" customFormat="false" ht="15" hidden="false" customHeight="false" outlineLevel="0" collapsed="false">
      <c r="A13" s="2"/>
      <c r="B13" s="2"/>
      <c r="C13" s="2"/>
      <c r="D13" s="2"/>
      <c r="E13" s="2"/>
      <c r="F13" s="2"/>
      <c r="G13" s="2"/>
      <c r="H13" s="2"/>
      <c r="I13" s="2"/>
      <c r="J13" s="2"/>
      <c r="K13" s="2"/>
      <c r="L13" s="2"/>
      <c r="M13" s="2"/>
      <c r="N13" s="2"/>
      <c r="O13" s="2"/>
      <c r="P13" s="2"/>
      <c r="Q13" s="2"/>
      <c r="R13" s="2"/>
      <c r="S13" s="2"/>
      <c r="T13" s="2"/>
      <c r="U13" s="2"/>
    </row>
    <row r="14" customFormat="false" ht="15" hidden="false" customHeight="false" outlineLevel="0" collapsed="false">
      <c r="A14" s="2"/>
      <c r="B14" s="2"/>
      <c r="C14" s="2"/>
      <c r="D14" s="2"/>
      <c r="E14" s="2"/>
      <c r="F14" s="2"/>
      <c r="G14" s="2"/>
      <c r="H14" s="2"/>
      <c r="I14" s="2"/>
      <c r="J14" s="2"/>
      <c r="K14" s="2"/>
      <c r="L14" s="2"/>
      <c r="M14" s="2"/>
      <c r="N14" s="2"/>
      <c r="O14" s="2"/>
      <c r="P14" s="2"/>
      <c r="Q14" s="2"/>
      <c r="R14" s="2"/>
      <c r="S14" s="2"/>
      <c r="T14" s="2"/>
      <c r="U14" s="2"/>
    </row>
    <row r="15" customFormat="false" ht="15" hidden="false" customHeight="false" outlineLevel="0" collapsed="false">
      <c r="A15" s="2"/>
      <c r="B15" s="2"/>
      <c r="C15" s="2"/>
      <c r="D15" s="2"/>
      <c r="E15" s="2"/>
      <c r="F15" s="2"/>
      <c r="G15" s="2"/>
      <c r="H15" s="2"/>
      <c r="I15" s="2"/>
      <c r="J15" s="2"/>
      <c r="K15" s="2"/>
      <c r="L15" s="2"/>
      <c r="M15" s="2"/>
      <c r="N15" s="2"/>
      <c r="O15" s="2"/>
      <c r="P15" s="2"/>
      <c r="Q15" s="2"/>
      <c r="R15" s="2"/>
      <c r="S15" s="2"/>
      <c r="T15" s="2"/>
      <c r="U15" s="2"/>
    </row>
    <row r="16" customFormat="false" ht="15" hidden="false" customHeight="false" outlineLevel="0" collapsed="false">
      <c r="A16" s="2"/>
      <c r="B16" s="2"/>
      <c r="C16" s="2"/>
      <c r="D16" s="2"/>
      <c r="E16" s="2"/>
      <c r="F16" s="2"/>
      <c r="G16" s="2"/>
      <c r="H16" s="2"/>
      <c r="I16" s="2"/>
      <c r="J16" s="2"/>
      <c r="K16" s="2"/>
      <c r="L16" s="2"/>
      <c r="M16" s="2"/>
      <c r="N16" s="2"/>
      <c r="O16" s="2"/>
      <c r="P16" s="2"/>
      <c r="Q16" s="2"/>
      <c r="R16" s="2"/>
      <c r="S16" s="2"/>
      <c r="T16" s="2"/>
      <c r="U16" s="2"/>
    </row>
    <row r="17" customFormat="false" ht="15" hidden="false" customHeight="false" outlineLevel="0" collapsed="false">
      <c r="A17" s="2"/>
      <c r="B17" s="2"/>
      <c r="C17" s="2"/>
      <c r="D17" s="2"/>
      <c r="E17" s="2"/>
      <c r="F17" s="2"/>
      <c r="G17" s="2"/>
      <c r="H17" s="2"/>
      <c r="I17" s="2"/>
      <c r="J17" s="2"/>
      <c r="K17" s="2"/>
      <c r="L17" s="2"/>
      <c r="M17" s="2"/>
      <c r="N17" s="2"/>
      <c r="O17" s="2"/>
      <c r="P17" s="2"/>
      <c r="Q17" s="2"/>
      <c r="R17" s="2"/>
      <c r="S17" s="2"/>
      <c r="T17" s="2"/>
      <c r="U17" s="2"/>
    </row>
    <row r="18" customFormat="false" ht="15" hidden="false" customHeight="false" outlineLevel="0" collapsed="false">
      <c r="A18" s="2"/>
      <c r="B18" s="2"/>
      <c r="C18" s="2"/>
      <c r="D18" s="2"/>
      <c r="E18" s="2"/>
      <c r="F18" s="2"/>
      <c r="G18" s="2"/>
      <c r="H18" s="2"/>
      <c r="I18" s="2"/>
      <c r="J18" s="2"/>
      <c r="K18" s="2"/>
      <c r="L18" s="2"/>
      <c r="M18" s="2"/>
      <c r="N18" s="2"/>
      <c r="O18" s="2"/>
      <c r="P18" s="2"/>
      <c r="Q18" s="2"/>
      <c r="R18" s="2"/>
      <c r="S18" s="2"/>
      <c r="T18" s="2"/>
      <c r="U18" s="2"/>
    </row>
    <row r="19" customFormat="false" ht="15" hidden="false" customHeight="false" outlineLevel="0" collapsed="false">
      <c r="A19" s="2"/>
      <c r="B19" s="2"/>
      <c r="C19" s="2"/>
      <c r="D19" s="2"/>
      <c r="E19" s="2"/>
      <c r="F19" s="2"/>
      <c r="G19" s="2"/>
      <c r="H19" s="2"/>
      <c r="I19" s="2"/>
      <c r="J19" s="2"/>
      <c r="K19" s="2"/>
      <c r="L19" s="2"/>
      <c r="M19" s="2"/>
      <c r="N19" s="2"/>
      <c r="O19" s="2"/>
      <c r="P19" s="2"/>
      <c r="Q19" s="2"/>
      <c r="R19" s="2"/>
      <c r="S19" s="2"/>
      <c r="T19" s="2"/>
      <c r="U19" s="2"/>
    </row>
    <row r="20" customFormat="false" ht="15" hidden="false" customHeight="false" outlineLevel="0" collapsed="false">
      <c r="A20" s="2"/>
      <c r="B20" s="2"/>
      <c r="C20" s="2"/>
      <c r="D20" s="2"/>
      <c r="E20" s="2"/>
      <c r="F20" s="2"/>
      <c r="G20" s="2"/>
      <c r="H20" s="2"/>
      <c r="I20" s="2"/>
      <c r="J20" s="2"/>
      <c r="K20" s="2"/>
      <c r="L20" s="2"/>
      <c r="M20" s="2"/>
      <c r="N20" s="2"/>
      <c r="O20" s="2"/>
      <c r="P20" s="2"/>
      <c r="Q20" s="2"/>
      <c r="R20" s="2"/>
      <c r="S20" s="2"/>
      <c r="T20" s="2"/>
      <c r="U20" s="2"/>
    </row>
    <row r="21" customFormat="false" ht="15" hidden="false" customHeight="false" outlineLevel="0" collapsed="false">
      <c r="A21" s="2"/>
      <c r="B21" s="2"/>
      <c r="C21" s="2"/>
      <c r="D21" s="2"/>
      <c r="E21" s="2"/>
      <c r="F21" s="2"/>
      <c r="G21" s="2"/>
      <c r="H21" s="2"/>
      <c r="I21" s="2"/>
      <c r="J21" s="2"/>
      <c r="K21" s="2"/>
      <c r="L21" s="2"/>
      <c r="M21" s="2"/>
      <c r="N21" s="2"/>
      <c r="O21" s="2"/>
      <c r="P21" s="2"/>
      <c r="Q21" s="2"/>
      <c r="R21" s="2"/>
      <c r="S21" s="2"/>
      <c r="T21" s="2"/>
      <c r="U21" s="2"/>
    </row>
    <row r="22" customFormat="false" ht="15" hidden="false" customHeight="false" outlineLevel="0" collapsed="false">
      <c r="A22" s="2"/>
      <c r="B22" s="2"/>
      <c r="C22" s="2"/>
      <c r="D22" s="2"/>
      <c r="E22" s="2"/>
      <c r="F22" s="2"/>
      <c r="G22" s="2"/>
      <c r="H22" s="2"/>
      <c r="I22" s="2"/>
      <c r="J22" s="2"/>
      <c r="K22" s="2"/>
      <c r="L22" s="2"/>
      <c r="M22" s="2"/>
      <c r="N22" s="2"/>
      <c r="O22" s="2"/>
      <c r="P22" s="2"/>
      <c r="Q22" s="2"/>
      <c r="R22" s="2"/>
      <c r="S22" s="2"/>
      <c r="T22" s="2"/>
      <c r="U22" s="2"/>
    </row>
    <row r="23" customFormat="false" ht="15" hidden="false" customHeight="false" outlineLevel="0" collapsed="false">
      <c r="A23" s="2"/>
      <c r="B23" s="2"/>
      <c r="C23" s="2"/>
      <c r="D23" s="2"/>
      <c r="E23" s="2"/>
      <c r="F23" s="2"/>
      <c r="G23" s="2"/>
      <c r="H23" s="2"/>
      <c r="I23" s="2"/>
      <c r="J23" s="2"/>
      <c r="K23" s="2"/>
      <c r="L23" s="2"/>
      <c r="M23" s="2"/>
      <c r="N23" s="2"/>
      <c r="O23" s="2"/>
      <c r="P23" s="2"/>
      <c r="Q23" s="2"/>
      <c r="R23" s="2"/>
      <c r="S23" s="2"/>
      <c r="T23" s="2"/>
      <c r="U23" s="2"/>
    </row>
    <row r="24" customFormat="false" ht="15" hidden="false" customHeight="false" outlineLevel="0" collapsed="false">
      <c r="A24" s="2"/>
      <c r="B24" s="2"/>
      <c r="C24" s="2"/>
      <c r="D24" s="2"/>
      <c r="E24" s="2"/>
      <c r="F24" s="2"/>
      <c r="G24" s="2"/>
      <c r="H24" s="2"/>
      <c r="I24" s="2"/>
      <c r="J24" s="2"/>
      <c r="K24" s="2"/>
      <c r="L24" s="2"/>
      <c r="M24" s="2"/>
      <c r="N24" s="2"/>
      <c r="O24" s="2"/>
      <c r="P24" s="2"/>
      <c r="Q24" s="2"/>
      <c r="R24" s="2"/>
      <c r="S24" s="2"/>
      <c r="T24" s="2"/>
      <c r="U24" s="2"/>
    </row>
    <row r="25" customFormat="false" ht="15" hidden="false" customHeight="false" outlineLevel="0" collapsed="false">
      <c r="A25" s="2"/>
      <c r="B25" s="2"/>
      <c r="C25" s="2"/>
      <c r="D25" s="2"/>
      <c r="E25" s="2"/>
      <c r="F25" s="2"/>
      <c r="G25" s="2"/>
      <c r="H25" s="2"/>
      <c r="I25" s="2"/>
      <c r="J25" s="2"/>
      <c r="K25" s="2"/>
      <c r="L25" s="2"/>
      <c r="M25" s="2"/>
      <c r="N25" s="2"/>
      <c r="O25" s="2"/>
      <c r="P25" s="2"/>
      <c r="Q25" s="2"/>
      <c r="R25" s="2"/>
      <c r="S25" s="2"/>
      <c r="T25" s="2"/>
      <c r="U25" s="2"/>
    </row>
    <row r="26" customFormat="false" ht="15" hidden="false" customHeight="false" outlineLevel="0" collapsed="false">
      <c r="A26" s="2"/>
      <c r="B26" s="2"/>
      <c r="C26" s="2"/>
      <c r="D26" s="2"/>
      <c r="E26" s="2"/>
      <c r="F26" s="2"/>
      <c r="G26" s="2"/>
      <c r="H26" s="2"/>
      <c r="I26" s="2"/>
      <c r="J26" s="2"/>
      <c r="K26" s="2"/>
      <c r="L26" s="2"/>
      <c r="M26" s="2"/>
      <c r="N26" s="2"/>
      <c r="O26" s="2"/>
      <c r="P26" s="2"/>
      <c r="Q26" s="2"/>
      <c r="R26" s="2"/>
      <c r="S26" s="2"/>
      <c r="T26" s="2"/>
      <c r="U26" s="2"/>
    </row>
    <row r="27" customFormat="false" ht="15" hidden="false" customHeight="false" outlineLevel="0" collapsed="false">
      <c r="A27" s="2"/>
      <c r="B27" s="2"/>
      <c r="C27" s="2"/>
      <c r="D27" s="2"/>
      <c r="E27" s="2"/>
      <c r="F27" s="2"/>
      <c r="G27" s="2"/>
      <c r="H27" s="2"/>
      <c r="I27" s="2"/>
      <c r="J27" s="2"/>
      <c r="K27" s="2"/>
      <c r="L27" s="2"/>
      <c r="M27" s="2"/>
      <c r="N27" s="2"/>
      <c r="O27" s="2"/>
      <c r="P27" s="2"/>
      <c r="Q27" s="2"/>
      <c r="R27" s="2"/>
      <c r="S27" s="2"/>
      <c r="T27" s="2"/>
      <c r="U27" s="2"/>
    </row>
    <row r="28" customFormat="false" ht="15" hidden="false" customHeight="false" outlineLevel="0" collapsed="false">
      <c r="A28" s="2"/>
      <c r="B28" s="2"/>
      <c r="C28" s="2"/>
      <c r="D28" s="2"/>
      <c r="E28" s="2"/>
      <c r="F28" s="2"/>
      <c r="G28" s="2"/>
      <c r="H28" s="2"/>
      <c r="I28" s="2"/>
      <c r="J28" s="2"/>
      <c r="K28" s="2"/>
      <c r="L28" s="2"/>
      <c r="M28" s="2"/>
      <c r="N28" s="2"/>
      <c r="O28" s="2"/>
      <c r="P28" s="2"/>
      <c r="Q28" s="2"/>
      <c r="R28" s="2"/>
      <c r="S28" s="2"/>
      <c r="T28" s="2"/>
      <c r="U28" s="2"/>
    </row>
    <row r="29" customFormat="false" ht="15" hidden="false" customHeight="false" outlineLevel="0" collapsed="false">
      <c r="A29" s="2"/>
      <c r="B29" s="2"/>
      <c r="C29" s="2"/>
      <c r="D29" s="2"/>
      <c r="E29" s="2"/>
      <c r="F29" s="2"/>
      <c r="G29" s="2"/>
      <c r="H29" s="2"/>
      <c r="I29" s="2"/>
      <c r="J29" s="2"/>
      <c r="K29" s="2"/>
      <c r="L29" s="2"/>
      <c r="M29" s="2"/>
      <c r="N29" s="2"/>
      <c r="O29" s="2"/>
      <c r="P29" s="2"/>
      <c r="Q29" s="2"/>
      <c r="R29" s="2"/>
      <c r="S29" s="2"/>
      <c r="T29" s="2"/>
      <c r="U29" s="2"/>
    </row>
    <row r="30" customFormat="false" ht="15" hidden="false" customHeight="false" outlineLevel="0" collapsed="false">
      <c r="A30" s="2"/>
      <c r="B30" s="2"/>
      <c r="C30" s="2"/>
      <c r="D30" s="2"/>
      <c r="E30" s="2"/>
      <c r="F30" s="2"/>
      <c r="G30" s="2"/>
      <c r="H30" s="2"/>
      <c r="I30" s="2"/>
      <c r="J30" s="2"/>
      <c r="K30" s="2"/>
      <c r="L30" s="2"/>
      <c r="M30" s="2"/>
      <c r="N30" s="2"/>
      <c r="O30" s="2"/>
      <c r="P30" s="2"/>
      <c r="Q30" s="2"/>
      <c r="R30" s="2"/>
      <c r="S30" s="2"/>
      <c r="T30" s="2"/>
      <c r="U30" s="2"/>
    </row>
    <row r="31" customFormat="false" ht="15" hidden="false" customHeight="false" outlineLevel="0" collapsed="false">
      <c r="A31" s="2"/>
      <c r="B31" s="2"/>
      <c r="C31" s="2"/>
      <c r="D31" s="2"/>
      <c r="E31" s="2"/>
      <c r="F31" s="2"/>
      <c r="G31" s="2"/>
      <c r="H31" s="2"/>
      <c r="I31" s="2"/>
      <c r="J31" s="2"/>
      <c r="K31" s="2"/>
      <c r="L31" s="2"/>
      <c r="M31" s="2"/>
      <c r="N31" s="2"/>
      <c r="O31" s="2"/>
      <c r="P31" s="2"/>
      <c r="Q31" s="2"/>
      <c r="R31" s="2"/>
      <c r="S31" s="2"/>
      <c r="T31" s="2"/>
      <c r="U31" s="2"/>
    </row>
    <row r="32" customFormat="false" ht="15" hidden="false" customHeight="false" outlineLevel="0" collapsed="false">
      <c r="A32" s="2"/>
      <c r="B32" s="2"/>
      <c r="C32" s="2"/>
      <c r="D32" s="2"/>
      <c r="E32" s="2"/>
      <c r="F32" s="2"/>
      <c r="G32" s="2"/>
      <c r="H32" s="2"/>
      <c r="I32" s="2"/>
      <c r="J32" s="2"/>
      <c r="K32" s="2"/>
      <c r="L32" s="2"/>
      <c r="M32" s="2"/>
      <c r="N32" s="2"/>
      <c r="O32" s="2"/>
      <c r="P32" s="2"/>
      <c r="Q32" s="2"/>
      <c r="R32" s="2"/>
      <c r="S32" s="2"/>
      <c r="T32" s="2"/>
      <c r="U32" s="2"/>
    </row>
    <row r="33" customFormat="false" ht="15" hidden="false" customHeight="false" outlineLevel="0" collapsed="false">
      <c r="A33" s="2"/>
      <c r="B33" s="2"/>
      <c r="C33" s="2"/>
      <c r="D33" s="2"/>
      <c r="E33" s="2"/>
      <c r="F33" s="2"/>
      <c r="G33" s="2"/>
      <c r="H33" s="2"/>
      <c r="I33" s="2"/>
      <c r="J33" s="2"/>
      <c r="K33" s="2"/>
      <c r="L33" s="2"/>
      <c r="M33" s="2"/>
      <c r="N33" s="2"/>
      <c r="O33" s="2"/>
      <c r="P33" s="2"/>
      <c r="Q33" s="2"/>
      <c r="R33" s="2"/>
      <c r="S33" s="2"/>
      <c r="T33" s="2"/>
      <c r="U33" s="2"/>
    </row>
    <row r="34" customFormat="false" ht="15" hidden="false" customHeight="false" outlineLevel="0" collapsed="false">
      <c r="A34" s="2"/>
      <c r="B34" s="2"/>
      <c r="C34" s="2"/>
      <c r="D34" s="2"/>
      <c r="E34" s="2"/>
      <c r="F34" s="2"/>
      <c r="G34" s="2"/>
      <c r="H34" s="2"/>
      <c r="I34" s="2"/>
      <c r="J34" s="2"/>
      <c r="K34" s="2"/>
      <c r="L34" s="2"/>
      <c r="M34" s="2"/>
      <c r="N34" s="2"/>
      <c r="O34" s="2"/>
      <c r="P34" s="2"/>
      <c r="Q34" s="2"/>
      <c r="R34" s="2"/>
      <c r="S34" s="2"/>
      <c r="T34" s="2"/>
      <c r="U34" s="2"/>
    </row>
    <row r="35" customFormat="false" ht="15" hidden="false" customHeight="false" outlineLevel="0" collapsed="false">
      <c r="A35" s="2"/>
      <c r="B35" s="2"/>
      <c r="C35" s="2"/>
      <c r="D35" s="2"/>
      <c r="E35" s="2"/>
      <c r="F35" s="2"/>
      <c r="G35" s="2"/>
      <c r="H35" s="2"/>
      <c r="I35" s="2"/>
      <c r="J35" s="2"/>
      <c r="K35" s="2"/>
      <c r="L35" s="2"/>
      <c r="M35" s="2"/>
      <c r="N35" s="2"/>
      <c r="O35" s="2"/>
      <c r="P35" s="2"/>
      <c r="Q35" s="2"/>
      <c r="R35" s="2"/>
      <c r="S35" s="2"/>
      <c r="T35" s="2"/>
      <c r="U35" s="2"/>
    </row>
    <row r="36" customFormat="false" ht="15" hidden="false" customHeight="false" outlineLevel="0" collapsed="false">
      <c r="A36" s="2"/>
      <c r="B36" s="2"/>
      <c r="C36" s="2"/>
      <c r="D36" s="2"/>
      <c r="E36" s="2"/>
      <c r="F36" s="2"/>
      <c r="G36" s="2"/>
      <c r="H36" s="2"/>
      <c r="I36" s="2"/>
      <c r="J36" s="2"/>
      <c r="K36" s="2"/>
      <c r="L36" s="2"/>
      <c r="M36" s="2"/>
      <c r="N36" s="2"/>
      <c r="O36" s="2"/>
      <c r="P36" s="2"/>
      <c r="Q36" s="2"/>
      <c r="R36" s="2"/>
      <c r="S36" s="2"/>
      <c r="T36" s="2"/>
      <c r="U36" s="2"/>
    </row>
    <row r="37" customFormat="false" ht="15" hidden="false" customHeight="false" outlineLevel="0" collapsed="false">
      <c r="A37" s="2"/>
      <c r="B37" s="2"/>
      <c r="C37" s="2"/>
      <c r="D37" s="2"/>
      <c r="E37" s="2"/>
      <c r="F37" s="2"/>
      <c r="G37" s="2"/>
      <c r="H37" s="2"/>
      <c r="I37" s="2"/>
      <c r="J37" s="2"/>
      <c r="K37" s="2"/>
      <c r="L37" s="2"/>
      <c r="M37" s="2"/>
      <c r="N37" s="2"/>
      <c r="O37" s="2"/>
      <c r="P37" s="2"/>
      <c r="Q37" s="2"/>
      <c r="R37" s="2"/>
      <c r="S37" s="2"/>
      <c r="T37" s="2"/>
      <c r="U37" s="2"/>
    </row>
    <row r="38" customFormat="false" ht="15" hidden="false" customHeight="false" outlineLevel="0" collapsed="false">
      <c r="A38" s="2"/>
      <c r="B38" s="2"/>
      <c r="C38" s="2"/>
      <c r="D38" s="2"/>
      <c r="E38" s="2"/>
      <c r="F38" s="2"/>
      <c r="G38" s="2"/>
      <c r="H38" s="2"/>
      <c r="I38" s="2"/>
      <c r="J38" s="2"/>
      <c r="K38" s="2"/>
      <c r="L38" s="2"/>
      <c r="M38" s="2"/>
      <c r="N38" s="2"/>
      <c r="O38" s="2"/>
      <c r="P38" s="2"/>
      <c r="Q38" s="2"/>
      <c r="R38" s="2"/>
      <c r="S38" s="2"/>
      <c r="T38" s="2"/>
      <c r="U38" s="2"/>
    </row>
    <row r="39" customFormat="false" ht="15" hidden="false" customHeight="false" outlineLevel="0" collapsed="false">
      <c r="A39" s="2"/>
      <c r="B39" s="2"/>
      <c r="C39" s="2"/>
      <c r="D39" s="2"/>
      <c r="E39" s="2"/>
      <c r="F39" s="2"/>
      <c r="G39" s="2"/>
      <c r="H39" s="2"/>
      <c r="I39" s="2"/>
      <c r="J39" s="2"/>
      <c r="K39" s="2"/>
      <c r="L39" s="2"/>
      <c r="M39" s="2"/>
      <c r="N39" s="2"/>
      <c r="O39" s="2"/>
      <c r="P39" s="2"/>
      <c r="Q39" s="2"/>
      <c r="R39" s="2"/>
      <c r="S39" s="2"/>
      <c r="T39" s="2"/>
      <c r="U39" s="2"/>
    </row>
    <row r="40" customFormat="false" ht="15" hidden="false" customHeight="false" outlineLevel="0" collapsed="false">
      <c r="A40" s="2"/>
      <c r="B40" s="2"/>
      <c r="C40" s="2"/>
      <c r="D40" s="2"/>
      <c r="E40" s="2"/>
      <c r="F40" s="2"/>
      <c r="G40" s="2"/>
      <c r="H40" s="2"/>
      <c r="I40" s="2"/>
      <c r="J40" s="2"/>
      <c r="K40" s="2"/>
      <c r="L40" s="2"/>
      <c r="M40" s="2"/>
      <c r="N40" s="2"/>
      <c r="O40" s="2"/>
      <c r="P40" s="2"/>
      <c r="Q40" s="2"/>
      <c r="R40" s="2"/>
      <c r="S40" s="2"/>
      <c r="T40" s="2"/>
      <c r="U40" s="2"/>
    </row>
    <row r="41" customFormat="false" ht="15" hidden="false" customHeight="false" outlineLevel="0" collapsed="false">
      <c r="A41" s="2"/>
      <c r="B41" s="2"/>
      <c r="C41" s="2"/>
      <c r="D41" s="2"/>
      <c r="E41" s="2"/>
      <c r="F41" s="2"/>
      <c r="G41" s="2"/>
      <c r="H41" s="2"/>
      <c r="I41" s="2"/>
      <c r="J41" s="2"/>
      <c r="K41" s="2"/>
      <c r="L41" s="2"/>
      <c r="M41" s="2"/>
      <c r="N41" s="2"/>
      <c r="O41" s="2"/>
      <c r="P41" s="2"/>
      <c r="Q41" s="2"/>
      <c r="R41" s="2"/>
      <c r="S41" s="2"/>
      <c r="T41" s="2"/>
      <c r="U41" s="2"/>
    </row>
    <row r="42" customFormat="false" ht="15" hidden="false" customHeight="false" outlineLevel="0" collapsed="false">
      <c r="A42" s="2"/>
      <c r="B42" s="2"/>
      <c r="C42" s="2"/>
      <c r="D42" s="2"/>
      <c r="E42" s="2"/>
      <c r="F42" s="2"/>
      <c r="G42" s="2"/>
      <c r="H42" s="2"/>
      <c r="I42" s="2"/>
      <c r="J42" s="2"/>
      <c r="K42" s="2"/>
      <c r="L42" s="2"/>
      <c r="M42" s="2"/>
      <c r="N42" s="2"/>
      <c r="O42" s="2"/>
      <c r="P42" s="2"/>
      <c r="Q42" s="2"/>
      <c r="R42" s="2"/>
      <c r="S42" s="2"/>
      <c r="T42" s="2"/>
      <c r="U42" s="2"/>
    </row>
    <row r="43" customFormat="false" ht="15" hidden="false" customHeight="false" outlineLevel="0" collapsed="false">
      <c r="A43" s="2"/>
      <c r="B43" s="2"/>
      <c r="C43" s="2"/>
      <c r="D43" s="2"/>
      <c r="E43" s="2"/>
      <c r="F43" s="2"/>
      <c r="G43" s="2"/>
      <c r="H43" s="2"/>
      <c r="I43" s="2"/>
      <c r="J43" s="2"/>
      <c r="K43" s="2"/>
      <c r="L43" s="2"/>
      <c r="M43" s="2"/>
      <c r="N43" s="2"/>
      <c r="O43" s="2"/>
      <c r="P43" s="2"/>
      <c r="Q43" s="2"/>
      <c r="R43" s="2"/>
      <c r="S43" s="2"/>
      <c r="T43" s="2"/>
      <c r="U43" s="2"/>
    </row>
    <row r="44" customFormat="false" ht="15" hidden="false" customHeight="false" outlineLevel="0" collapsed="false">
      <c r="A44" s="2"/>
      <c r="B44" s="2"/>
      <c r="C44" s="2"/>
      <c r="D44" s="2"/>
      <c r="E44" s="2"/>
      <c r="F44" s="2"/>
      <c r="G44" s="2"/>
      <c r="H44" s="2"/>
      <c r="I44" s="2"/>
      <c r="J44" s="2"/>
      <c r="K44" s="2"/>
      <c r="L44" s="2"/>
      <c r="M44" s="2"/>
      <c r="N44" s="2"/>
      <c r="O44" s="2"/>
      <c r="P44" s="2"/>
      <c r="Q44" s="2"/>
      <c r="R44" s="2"/>
      <c r="S44" s="2"/>
      <c r="T44" s="2"/>
      <c r="U44" s="2"/>
    </row>
    <row r="45" customFormat="false" ht="15" hidden="false" customHeight="false" outlineLevel="0" collapsed="false">
      <c r="A45" s="2"/>
      <c r="B45" s="2"/>
      <c r="C45" s="2"/>
      <c r="D45" s="2"/>
      <c r="E45" s="2"/>
      <c r="F45" s="2"/>
      <c r="G45" s="2"/>
      <c r="H45" s="2"/>
      <c r="I45" s="2"/>
      <c r="J45" s="2"/>
      <c r="K45" s="2"/>
      <c r="L45" s="2"/>
      <c r="M45" s="2"/>
      <c r="N45" s="2"/>
      <c r="O45" s="2"/>
      <c r="P45" s="2"/>
      <c r="Q45" s="2"/>
      <c r="R45" s="2"/>
      <c r="S45" s="2"/>
      <c r="T45" s="2"/>
      <c r="U45" s="2"/>
    </row>
    <row r="46" customFormat="false" ht="15" hidden="false" customHeight="false" outlineLevel="0" collapsed="false">
      <c r="A46" s="2"/>
      <c r="B46" s="2"/>
      <c r="C46" s="2"/>
      <c r="D46" s="2"/>
      <c r="E46" s="2"/>
      <c r="F46" s="2"/>
      <c r="G46" s="2"/>
      <c r="H46" s="2"/>
      <c r="I46" s="2"/>
      <c r="J46" s="2"/>
      <c r="K46" s="2"/>
      <c r="L46" s="2"/>
      <c r="M46" s="2"/>
      <c r="N46" s="2"/>
      <c r="O46" s="2"/>
      <c r="P46" s="2"/>
      <c r="Q46" s="2"/>
      <c r="R46" s="2"/>
      <c r="S46" s="2"/>
      <c r="T46" s="2"/>
      <c r="U46" s="2"/>
    </row>
    <row r="47" customFormat="false" ht="15" hidden="false" customHeight="false" outlineLevel="0" collapsed="false">
      <c r="A47" s="2"/>
      <c r="B47" s="2"/>
      <c r="C47" s="2"/>
      <c r="D47" s="2"/>
      <c r="E47" s="2"/>
      <c r="F47" s="2"/>
      <c r="G47" s="2"/>
      <c r="H47" s="2"/>
      <c r="I47" s="2"/>
      <c r="J47" s="2"/>
      <c r="K47" s="2"/>
      <c r="L47" s="2"/>
      <c r="M47" s="2"/>
      <c r="N47" s="2"/>
      <c r="O47" s="2"/>
      <c r="P47" s="2"/>
      <c r="Q47" s="2"/>
      <c r="R47" s="2"/>
      <c r="S47" s="2"/>
      <c r="T47" s="2"/>
      <c r="U47" s="2"/>
    </row>
    <row r="48" customFormat="false" ht="15" hidden="false" customHeight="false" outlineLevel="0" collapsed="false">
      <c r="A48" s="2"/>
      <c r="B48" s="2"/>
      <c r="C48" s="2"/>
      <c r="D48" s="2"/>
      <c r="E48" s="2"/>
      <c r="F48" s="2"/>
      <c r="G48" s="2"/>
      <c r="H48" s="2"/>
      <c r="I48" s="2"/>
      <c r="J48" s="2"/>
      <c r="K48" s="2"/>
      <c r="L48" s="2"/>
      <c r="M48" s="2"/>
      <c r="N48" s="2"/>
      <c r="O48" s="2"/>
      <c r="P48" s="2"/>
      <c r="Q48" s="2"/>
      <c r="R48" s="2"/>
      <c r="S48" s="2"/>
      <c r="T48" s="2"/>
      <c r="U48" s="2"/>
    </row>
    <row r="49" customFormat="false" ht="15" hidden="false" customHeight="false" outlineLevel="0" collapsed="false">
      <c r="A49" s="2"/>
      <c r="B49" s="2"/>
      <c r="C49" s="2"/>
      <c r="D49" s="2"/>
      <c r="E49" s="2"/>
      <c r="F49" s="2"/>
      <c r="G49" s="2"/>
      <c r="H49" s="2"/>
      <c r="I49" s="2"/>
      <c r="J49" s="2"/>
      <c r="K49" s="2"/>
      <c r="L49" s="2"/>
      <c r="M49" s="2"/>
      <c r="N49" s="2"/>
      <c r="O49" s="2"/>
      <c r="P49" s="2"/>
      <c r="Q49" s="2"/>
      <c r="R49" s="2"/>
      <c r="S49" s="2"/>
      <c r="T49" s="2"/>
      <c r="U49" s="2"/>
    </row>
    <row r="50" customFormat="false" ht="15" hidden="false" customHeight="false" outlineLevel="0" collapsed="false">
      <c r="A50" s="2"/>
      <c r="B50" s="2"/>
      <c r="C50" s="2"/>
      <c r="D50" s="2"/>
      <c r="E50" s="2"/>
      <c r="F50" s="2"/>
      <c r="G50" s="2"/>
      <c r="H50" s="2"/>
      <c r="I50" s="2"/>
      <c r="J50" s="2"/>
      <c r="K50" s="2"/>
      <c r="L50" s="2"/>
      <c r="M50" s="2"/>
      <c r="N50" s="2"/>
      <c r="O50" s="2"/>
      <c r="P50" s="2"/>
      <c r="Q50" s="2"/>
      <c r="R50" s="2"/>
      <c r="S50" s="2"/>
      <c r="T50" s="2"/>
      <c r="U50" s="2"/>
    </row>
    <row r="51" customFormat="false" ht="15" hidden="false" customHeight="false" outlineLevel="0" collapsed="false">
      <c r="A51" s="2"/>
      <c r="B51" s="2"/>
      <c r="C51" s="2"/>
      <c r="D51" s="2"/>
      <c r="E51" s="2"/>
      <c r="F51" s="2"/>
      <c r="G51" s="2"/>
      <c r="H51" s="2"/>
      <c r="I51" s="2"/>
      <c r="J51" s="2"/>
      <c r="K51" s="2"/>
      <c r="L51" s="2"/>
      <c r="M51" s="2"/>
      <c r="N51" s="2"/>
      <c r="O51" s="2"/>
      <c r="P51" s="2"/>
      <c r="Q51" s="2"/>
      <c r="R51" s="2"/>
      <c r="S51" s="2"/>
      <c r="T51" s="2"/>
      <c r="U51" s="2"/>
    </row>
    <row r="52" customFormat="false" ht="15" hidden="false" customHeight="false" outlineLevel="0" collapsed="false">
      <c r="A52" s="2"/>
      <c r="B52" s="2"/>
      <c r="C52" s="2"/>
      <c r="D52" s="2"/>
      <c r="E52" s="2"/>
      <c r="F52" s="2"/>
      <c r="G52" s="2"/>
      <c r="H52" s="2"/>
      <c r="I52" s="2"/>
      <c r="J52" s="2"/>
      <c r="K52" s="2"/>
      <c r="L52" s="2"/>
      <c r="M52" s="2"/>
      <c r="N52" s="2"/>
      <c r="O52" s="2"/>
      <c r="P52" s="2"/>
      <c r="Q52" s="2"/>
      <c r="R52" s="2"/>
      <c r="S52" s="2"/>
      <c r="T52" s="2"/>
      <c r="U52" s="2"/>
    </row>
    <row r="53" customFormat="false" ht="15" hidden="false" customHeight="false" outlineLevel="0" collapsed="false">
      <c r="A53" s="2"/>
      <c r="B53" s="2"/>
      <c r="C53" s="2"/>
      <c r="D53" s="2"/>
      <c r="E53" s="2"/>
      <c r="F53" s="2"/>
      <c r="G53" s="2"/>
      <c r="H53" s="2"/>
      <c r="I53" s="2"/>
      <c r="J53" s="2"/>
      <c r="K53" s="2"/>
      <c r="L53" s="2"/>
      <c r="M53" s="2"/>
      <c r="N53" s="2"/>
      <c r="O53" s="2"/>
      <c r="P53" s="2"/>
      <c r="Q53" s="2"/>
      <c r="R53" s="2"/>
      <c r="S53" s="2"/>
      <c r="T53" s="2"/>
      <c r="U53" s="2"/>
    </row>
    <row r="54" customFormat="false" ht="15" hidden="false" customHeight="false" outlineLevel="0" collapsed="false">
      <c r="A54" s="2"/>
      <c r="B54" s="2"/>
      <c r="C54" s="2"/>
      <c r="D54" s="2"/>
      <c r="E54" s="2"/>
      <c r="F54" s="2"/>
      <c r="G54" s="2"/>
      <c r="H54" s="2"/>
      <c r="I54" s="2"/>
      <c r="J54" s="2"/>
      <c r="K54" s="2"/>
      <c r="L54" s="2"/>
      <c r="M54" s="2"/>
      <c r="N54" s="2"/>
      <c r="O54" s="2"/>
      <c r="P54" s="2"/>
      <c r="Q54" s="2"/>
      <c r="R54" s="2"/>
      <c r="S54" s="2"/>
      <c r="T54" s="2"/>
      <c r="U54" s="2"/>
    </row>
    <row r="55" customFormat="false" ht="15" hidden="false" customHeight="false" outlineLevel="0" collapsed="false">
      <c r="A55" s="2"/>
      <c r="B55" s="2"/>
      <c r="C55" s="2"/>
      <c r="D55" s="2"/>
      <c r="E55" s="2"/>
      <c r="F55" s="2"/>
      <c r="G55" s="2"/>
      <c r="H55" s="2"/>
      <c r="I55" s="2"/>
      <c r="J55" s="2"/>
      <c r="K55" s="2"/>
      <c r="L55" s="2"/>
      <c r="M55" s="2"/>
      <c r="N55" s="2"/>
      <c r="O55" s="2"/>
      <c r="P55" s="2"/>
      <c r="Q55" s="2"/>
      <c r="R55" s="2"/>
      <c r="S55" s="2"/>
      <c r="T55" s="2"/>
      <c r="U55" s="2"/>
    </row>
    <row r="56" customFormat="false" ht="15" hidden="false" customHeight="false" outlineLevel="0" collapsed="false">
      <c r="A56" s="2"/>
      <c r="B56" s="2"/>
      <c r="C56" s="2"/>
      <c r="D56" s="2"/>
      <c r="E56" s="2"/>
      <c r="F56" s="2"/>
      <c r="G56" s="2"/>
      <c r="H56" s="2"/>
      <c r="I56" s="2"/>
      <c r="J56" s="2"/>
      <c r="K56" s="2"/>
      <c r="L56" s="2"/>
      <c r="M56" s="2"/>
      <c r="N56" s="2"/>
      <c r="O56" s="2"/>
      <c r="P56" s="2"/>
      <c r="Q56" s="2"/>
      <c r="R56" s="2"/>
      <c r="S56" s="2"/>
      <c r="T56" s="2"/>
      <c r="U56" s="2"/>
    </row>
    <row r="57" customFormat="false" ht="15" hidden="false" customHeight="false" outlineLevel="0" collapsed="false">
      <c r="A57" s="2"/>
      <c r="B57" s="2"/>
      <c r="C57" s="2"/>
      <c r="D57" s="2"/>
      <c r="E57" s="2"/>
      <c r="F57" s="2"/>
      <c r="G57" s="2"/>
      <c r="H57" s="2"/>
      <c r="I57" s="2"/>
      <c r="J57" s="2"/>
      <c r="K57" s="2"/>
      <c r="L57" s="2"/>
      <c r="M57" s="2"/>
      <c r="N57" s="2"/>
      <c r="O57" s="2"/>
      <c r="P57" s="2"/>
      <c r="Q57" s="2"/>
      <c r="R57" s="2"/>
      <c r="S57" s="2"/>
      <c r="T57" s="2"/>
      <c r="U57" s="2"/>
    </row>
    <row r="58" customFormat="false" ht="15" hidden="false" customHeight="false" outlineLevel="0" collapsed="false">
      <c r="A58" s="2"/>
      <c r="B58" s="2"/>
      <c r="C58" s="2"/>
      <c r="D58" s="2"/>
      <c r="E58" s="2"/>
      <c r="F58" s="2"/>
      <c r="G58" s="2"/>
      <c r="H58" s="2"/>
      <c r="I58" s="2"/>
      <c r="J58" s="2"/>
      <c r="K58" s="2"/>
      <c r="L58" s="2"/>
      <c r="M58" s="2"/>
      <c r="N58" s="2"/>
      <c r="O58" s="2"/>
      <c r="P58" s="2"/>
      <c r="Q58" s="2"/>
      <c r="R58" s="2"/>
      <c r="S58" s="2"/>
      <c r="T58" s="2"/>
      <c r="U58" s="2"/>
    </row>
    <row r="59" customFormat="false" ht="15" hidden="false" customHeight="false" outlineLevel="0" collapsed="false">
      <c r="A59" s="2"/>
      <c r="B59" s="2"/>
      <c r="C59" s="2"/>
      <c r="D59" s="2"/>
      <c r="E59" s="2"/>
      <c r="F59" s="2"/>
      <c r="G59" s="2"/>
      <c r="H59" s="2"/>
      <c r="I59" s="2"/>
      <c r="J59" s="2"/>
      <c r="K59" s="2"/>
      <c r="L59" s="2"/>
      <c r="M59" s="2"/>
      <c r="N59" s="2"/>
      <c r="O59" s="2"/>
      <c r="P59" s="2"/>
      <c r="Q59" s="2"/>
      <c r="R59" s="2"/>
      <c r="S59" s="2"/>
      <c r="T59" s="2"/>
      <c r="U59" s="2"/>
    </row>
    <row r="60" customFormat="false" ht="15" hidden="false" customHeight="false" outlineLevel="0" collapsed="false">
      <c r="A60" s="2"/>
      <c r="B60" s="2"/>
      <c r="C60" s="2"/>
      <c r="D60" s="2"/>
      <c r="E60" s="2"/>
      <c r="F60" s="2"/>
      <c r="G60" s="2"/>
      <c r="H60" s="2"/>
      <c r="I60" s="2"/>
      <c r="J60" s="2"/>
      <c r="K60" s="2"/>
      <c r="L60" s="2"/>
      <c r="M60" s="2"/>
      <c r="N60" s="2"/>
      <c r="O60" s="2"/>
      <c r="P60" s="2"/>
      <c r="Q60" s="2"/>
      <c r="R60" s="2"/>
      <c r="S60" s="2"/>
      <c r="T60" s="2"/>
      <c r="U60" s="2"/>
    </row>
    <row r="61" customFormat="false" ht="15" hidden="false" customHeight="false" outlineLevel="0" collapsed="false">
      <c r="A61" s="2"/>
      <c r="B61" s="2"/>
      <c r="C61" s="2"/>
      <c r="D61" s="2"/>
      <c r="E61" s="2"/>
      <c r="F61" s="2"/>
      <c r="G61" s="2"/>
      <c r="H61" s="2"/>
      <c r="I61" s="2"/>
      <c r="J61" s="2"/>
      <c r="K61" s="2"/>
      <c r="L61" s="2"/>
      <c r="M61" s="2"/>
      <c r="N61" s="2"/>
      <c r="O61" s="2"/>
      <c r="P61" s="2"/>
      <c r="Q61" s="2"/>
      <c r="R61" s="2"/>
      <c r="S61" s="2"/>
      <c r="T61" s="2"/>
      <c r="U61" s="2"/>
    </row>
    <row r="62" customFormat="false" ht="15" hidden="false" customHeight="false" outlineLevel="0" collapsed="false">
      <c r="A62" s="2"/>
      <c r="B62" s="2"/>
      <c r="C62" s="2"/>
      <c r="D62" s="2"/>
      <c r="E62" s="2"/>
      <c r="F62" s="2"/>
      <c r="G62" s="2"/>
      <c r="H62" s="2"/>
      <c r="I62" s="2"/>
      <c r="J62" s="2"/>
      <c r="K62" s="2"/>
      <c r="L62" s="2"/>
      <c r="M62" s="2"/>
      <c r="N62" s="2"/>
      <c r="O62" s="2"/>
      <c r="P62" s="2"/>
      <c r="Q62" s="2"/>
      <c r="R62" s="2"/>
      <c r="S62" s="2"/>
      <c r="T62" s="2"/>
      <c r="U62" s="2"/>
    </row>
    <row r="63" customFormat="false" ht="15" hidden="false" customHeight="false" outlineLevel="0" collapsed="false">
      <c r="A63" s="2"/>
      <c r="B63" s="2"/>
      <c r="C63" s="2"/>
      <c r="D63" s="2"/>
      <c r="E63" s="2"/>
      <c r="F63" s="2"/>
      <c r="G63" s="2"/>
      <c r="H63" s="2"/>
      <c r="I63" s="2"/>
      <c r="J63" s="2"/>
      <c r="K63" s="2"/>
      <c r="L63" s="2"/>
      <c r="M63" s="2"/>
      <c r="N63" s="2"/>
      <c r="O63" s="2"/>
      <c r="P63" s="2"/>
      <c r="Q63" s="2"/>
      <c r="R63" s="2"/>
      <c r="S63" s="2"/>
      <c r="T63" s="2"/>
      <c r="U63" s="2"/>
    </row>
    <row r="64" customFormat="false" ht="15" hidden="false" customHeight="false" outlineLevel="0" collapsed="false">
      <c r="A64" s="2"/>
      <c r="B64" s="2"/>
      <c r="C64" s="2"/>
      <c r="D64" s="2"/>
      <c r="E64" s="2"/>
      <c r="F64" s="2"/>
      <c r="G64" s="2"/>
      <c r="H64" s="2"/>
      <c r="I64" s="2"/>
      <c r="J64" s="2"/>
      <c r="K64" s="2"/>
      <c r="L64" s="2"/>
      <c r="M64" s="2"/>
      <c r="N64" s="2"/>
      <c r="O64" s="2"/>
      <c r="P64" s="2"/>
      <c r="Q64" s="2"/>
      <c r="R64" s="2"/>
      <c r="S64" s="2"/>
      <c r="T64" s="2"/>
      <c r="U64" s="2"/>
    </row>
    <row r="65" customFormat="false" ht="15" hidden="false" customHeight="false" outlineLevel="0" collapsed="false">
      <c r="A65" s="2"/>
      <c r="B65" s="2"/>
      <c r="C65" s="2"/>
      <c r="D65" s="2"/>
      <c r="E65" s="2"/>
      <c r="F65" s="2"/>
      <c r="G65" s="2"/>
      <c r="H65" s="2"/>
      <c r="I65" s="2"/>
      <c r="J65" s="2"/>
      <c r="K65" s="2"/>
      <c r="L65" s="2"/>
      <c r="M65" s="2"/>
      <c r="N65" s="2"/>
      <c r="O65" s="2"/>
      <c r="P65" s="2"/>
      <c r="Q65" s="2"/>
      <c r="R65" s="2"/>
      <c r="S65" s="2"/>
      <c r="T65" s="2"/>
      <c r="U65" s="2"/>
    </row>
    <row r="66" customFormat="false" ht="15" hidden="false" customHeight="false" outlineLevel="0" collapsed="false">
      <c r="A66" s="2"/>
      <c r="B66" s="2"/>
      <c r="C66" s="2"/>
      <c r="D66" s="2"/>
      <c r="E66" s="2"/>
      <c r="F66" s="2"/>
      <c r="G66" s="2"/>
      <c r="H66" s="2"/>
      <c r="I66" s="2"/>
      <c r="J66" s="2"/>
      <c r="K66" s="2"/>
      <c r="L66" s="2"/>
      <c r="M66" s="2"/>
      <c r="N66" s="2"/>
      <c r="O66" s="2"/>
      <c r="P66" s="2"/>
      <c r="Q66" s="2"/>
      <c r="R66" s="2"/>
      <c r="S66" s="2"/>
      <c r="T66" s="2"/>
      <c r="U66" s="2"/>
    </row>
    <row r="67" customFormat="false" ht="15" hidden="false" customHeight="false" outlineLevel="0" collapsed="false">
      <c r="A67" s="2"/>
      <c r="B67" s="2"/>
      <c r="C67" s="2"/>
      <c r="D67" s="2"/>
      <c r="E67" s="2"/>
      <c r="F67" s="2"/>
      <c r="G67" s="2"/>
      <c r="H67" s="2"/>
      <c r="I67" s="2"/>
      <c r="J67" s="2"/>
      <c r="K67" s="2"/>
      <c r="L67" s="2"/>
      <c r="M67" s="2"/>
      <c r="N67" s="2"/>
      <c r="O67" s="2"/>
      <c r="P67" s="2"/>
      <c r="Q67" s="2"/>
      <c r="R67" s="2"/>
      <c r="S67" s="2"/>
      <c r="T67" s="2"/>
      <c r="U67" s="2"/>
    </row>
    <row r="68" customFormat="false" ht="15" hidden="false" customHeight="false" outlineLevel="0" collapsed="false">
      <c r="A68" s="2"/>
      <c r="B68" s="2"/>
      <c r="C68" s="2"/>
      <c r="D68" s="2"/>
      <c r="E68" s="2"/>
      <c r="F68" s="2"/>
      <c r="G68" s="2"/>
      <c r="H68" s="2"/>
      <c r="I68" s="2"/>
      <c r="J68" s="2"/>
      <c r="K68" s="2"/>
      <c r="L68" s="2"/>
      <c r="M68" s="2"/>
      <c r="N68" s="2"/>
      <c r="O68" s="2"/>
      <c r="P68" s="2"/>
      <c r="Q68" s="2"/>
      <c r="R68" s="2"/>
      <c r="S68" s="2"/>
      <c r="T68" s="2"/>
      <c r="U68" s="2"/>
    </row>
    <row r="69" customFormat="false" ht="15" hidden="false" customHeight="false" outlineLevel="0" collapsed="false">
      <c r="A69" s="2"/>
      <c r="B69" s="2"/>
      <c r="C69" s="2"/>
      <c r="D69" s="2"/>
      <c r="E69" s="2"/>
      <c r="F69" s="2"/>
      <c r="G69" s="2"/>
      <c r="H69" s="2"/>
      <c r="I69" s="2"/>
      <c r="J69" s="2"/>
      <c r="K69" s="2"/>
      <c r="L69" s="2"/>
      <c r="M69" s="2"/>
      <c r="N69" s="2"/>
      <c r="O69" s="2"/>
      <c r="P69" s="2"/>
      <c r="Q69" s="2"/>
      <c r="R69" s="2"/>
      <c r="S69" s="2"/>
      <c r="T69" s="2"/>
      <c r="U69" s="2"/>
    </row>
    <row r="70" customFormat="false" ht="15" hidden="false" customHeight="false" outlineLevel="0" collapsed="false">
      <c r="A70" s="2"/>
      <c r="B70" s="2"/>
      <c r="C70" s="2"/>
      <c r="D70" s="2"/>
      <c r="E70" s="2"/>
      <c r="F70" s="2"/>
      <c r="G70" s="2"/>
      <c r="H70" s="2"/>
      <c r="I70" s="2"/>
      <c r="J70" s="2"/>
      <c r="K70" s="2"/>
      <c r="L70" s="2"/>
      <c r="M70" s="2"/>
      <c r="N70" s="2"/>
      <c r="O70" s="2"/>
      <c r="P70" s="2"/>
      <c r="Q70" s="2"/>
      <c r="R70" s="2"/>
      <c r="S70" s="2"/>
      <c r="T70" s="2"/>
      <c r="U70" s="2"/>
    </row>
    <row r="71" customFormat="false" ht="15" hidden="false" customHeight="false" outlineLevel="0" collapsed="false">
      <c r="A71" s="2"/>
      <c r="B71" s="2"/>
      <c r="C71" s="2"/>
      <c r="D71" s="2"/>
      <c r="E71" s="2"/>
      <c r="F71" s="2"/>
      <c r="G71" s="2"/>
      <c r="H71" s="2"/>
      <c r="I71" s="2"/>
      <c r="J71" s="2"/>
      <c r="K71" s="2"/>
      <c r="L71" s="2"/>
      <c r="M71" s="2"/>
      <c r="N71" s="2"/>
      <c r="O71" s="2"/>
      <c r="P71" s="2"/>
      <c r="Q71" s="2"/>
      <c r="R71" s="2"/>
      <c r="S71" s="2"/>
      <c r="T71" s="2"/>
      <c r="U71" s="2"/>
    </row>
    <row r="72" customFormat="false" ht="15" hidden="false" customHeight="false" outlineLevel="0" collapsed="false">
      <c r="A72" s="2"/>
      <c r="B72" s="2"/>
      <c r="C72" s="2"/>
      <c r="D72" s="2"/>
      <c r="E72" s="2"/>
      <c r="F72" s="2"/>
      <c r="G72" s="2"/>
      <c r="H72" s="2"/>
      <c r="I72" s="2"/>
      <c r="J72" s="2"/>
      <c r="K72" s="2"/>
      <c r="L72" s="2"/>
      <c r="M72" s="2"/>
      <c r="N72" s="2"/>
      <c r="O72" s="2"/>
      <c r="P72" s="2"/>
      <c r="Q72" s="2"/>
      <c r="R72" s="2"/>
      <c r="S72" s="2"/>
      <c r="T72" s="2"/>
      <c r="U72" s="2"/>
    </row>
    <row r="73" customFormat="false" ht="15" hidden="false" customHeight="false" outlineLevel="0" collapsed="false">
      <c r="A73" s="2"/>
      <c r="B73" s="2"/>
      <c r="C73" s="2"/>
      <c r="D73" s="2"/>
      <c r="E73" s="2"/>
      <c r="F73" s="2"/>
      <c r="G73" s="2"/>
      <c r="H73" s="2"/>
      <c r="I73" s="2"/>
      <c r="J73" s="2"/>
      <c r="K73" s="2"/>
      <c r="L73" s="2"/>
      <c r="M73" s="2"/>
      <c r="N73" s="2"/>
      <c r="O73" s="2"/>
      <c r="P73" s="2"/>
      <c r="Q73" s="2"/>
      <c r="R73" s="2"/>
      <c r="S73" s="2"/>
      <c r="T73" s="2"/>
      <c r="U73" s="2"/>
    </row>
    <row r="74" customFormat="false" ht="15" hidden="false" customHeight="false" outlineLevel="0" collapsed="false">
      <c r="A74" s="2"/>
      <c r="B74" s="2"/>
      <c r="C74" s="2"/>
      <c r="D74" s="2"/>
      <c r="E74" s="2"/>
      <c r="F74" s="2"/>
      <c r="G74" s="2"/>
      <c r="H74" s="2"/>
      <c r="I74" s="2"/>
      <c r="J74" s="2"/>
      <c r="K74" s="2"/>
      <c r="L74" s="2"/>
      <c r="M74" s="2"/>
      <c r="N74" s="2"/>
      <c r="O74" s="2"/>
      <c r="P74" s="2"/>
      <c r="Q74" s="2"/>
      <c r="R74" s="2"/>
      <c r="S74" s="2"/>
      <c r="T74" s="2"/>
      <c r="U74" s="2"/>
    </row>
    <row r="75" customFormat="false" ht="15" hidden="false" customHeight="false" outlineLevel="0" collapsed="false">
      <c r="A75" s="2"/>
      <c r="B75" s="2"/>
      <c r="C75" s="2"/>
      <c r="D75" s="2"/>
      <c r="E75" s="2"/>
      <c r="F75" s="2"/>
      <c r="G75" s="2"/>
      <c r="H75" s="2"/>
      <c r="I75" s="2"/>
      <c r="J75" s="2"/>
      <c r="K75" s="2"/>
      <c r="L75" s="2"/>
      <c r="M75" s="2"/>
      <c r="N75" s="2"/>
      <c r="O75" s="2"/>
      <c r="P75" s="2"/>
      <c r="Q75" s="2"/>
      <c r="R75" s="2"/>
      <c r="S75" s="2"/>
      <c r="T75" s="2"/>
      <c r="U75" s="2"/>
    </row>
    <row r="76" customFormat="false" ht="15" hidden="false" customHeight="false" outlineLevel="0" collapsed="false">
      <c r="A76" s="2"/>
      <c r="B76" s="2"/>
      <c r="C76" s="2"/>
      <c r="D76" s="2"/>
      <c r="E76" s="2"/>
      <c r="F76" s="2"/>
      <c r="G76" s="2"/>
      <c r="H76" s="2"/>
      <c r="I76" s="2"/>
      <c r="J76" s="2"/>
      <c r="K76" s="2"/>
      <c r="L76" s="2"/>
      <c r="M76" s="2"/>
      <c r="N76" s="2"/>
      <c r="O76" s="2"/>
      <c r="P76" s="2"/>
      <c r="Q76" s="2"/>
      <c r="R76" s="2"/>
      <c r="S76" s="2"/>
      <c r="T76" s="2"/>
      <c r="U76" s="2"/>
    </row>
    <row r="77" customFormat="false" ht="15" hidden="false" customHeight="false" outlineLevel="0" collapsed="false">
      <c r="A77" s="2"/>
      <c r="B77" s="2"/>
      <c r="C77" s="2"/>
      <c r="D77" s="2"/>
      <c r="E77" s="2"/>
      <c r="F77" s="2"/>
      <c r="G77" s="2"/>
      <c r="H77" s="2"/>
      <c r="I77" s="2"/>
      <c r="J77" s="2"/>
      <c r="K77" s="2"/>
      <c r="L77" s="2"/>
      <c r="M77" s="2"/>
      <c r="N77" s="2"/>
      <c r="O77" s="2"/>
      <c r="P77" s="2"/>
      <c r="Q77" s="2"/>
      <c r="R77" s="2"/>
      <c r="S77" s="2"/>
      <c r="T77" s="2"/>
      <c r="U77" s="2"/>
    </row>
    <row r="78" customFormat="false" ht="15" hidden="false" customHeight="false" outlineLevel="0" collapsed="false">
      <c r="A78" s="2"/>
      <c r="B78" s="2"/>
      <c r="C78" s="2"/>
      <c r="D78" s="2"/>
      <c r="E78" s="2"/>
      <c r="F78" s="2"/>
      <c r="G78" s="2"/>
      <c r="H78" s="2"/>
      <c r="I78" s="2"/>
      <c r="J78" s="2"/>
      <c r="K78" s="2"/>
      <c r="L78" s="2"/>
      <c r="M78" s="2"/>
      <c r="N78" s="2"/>
      <c r="O78" s="2"/>
      <c r="P78" s="2"/>
      <c r="Q78" s="2"/>
      <c r="R78" s="2"/>
      <c r="S78" s="2"/>
      <c r="T78" s="2"/>
      <c r="U78" s="2"/>
    </row>
    <row r="79" customFormat="false" ht="15" hidden="false" customHeight="false" outlineLevel="0" collapsed="false">
      <c r="A79" s="2"/>
      <c r="B79" s="2"/>
      <c r="C79" s="2"/>
      <c r="D79" s="2"/>
      <c r="E79" s="2"/>
      <c r="F79" s="2"/>
      <c r="G79" s="2"/>
      <c r="H79" s="2"/>
      <c r="I79" s="2"/>
      <c r="J79" s="2"/>
      <c r="K79" s="2"/>
      <c r="L79" s="2"/>
      <c r="M79" s="2"/>
      <c r="N79" s="2"/>
      <c r="O79" s="2"/>
      <c r="P79" s="2"/>
      <c r="Q79" s="2"/>
      <c r="R79" s="2"/>
      <c r="S79" s="2"/>
      <c r="T79" s="2"/>
      <c r="U79" s="2"/>
    </row>
    <row r="80" customFormat="false" ht="15" hidden="false" customHeight="false" outlineLevel="0" collapsed="false">
      <c r="A80" s="2"/>
      <c r="B80" s="2"/>
      <c r="C80" s="2"/>
      <c r="D80" s="2"/>
      <c r="E80" s="2"/>
      <c r="F80" s="2"/>
      <c r="G80" s="2"/>
      <c r="H80" s="2"/>
      <c r="I80" s="2"/>
      <c r="J80" s="2"/>
      <c r="K80" s="2"/>
      <c r="L80" s="2"/>
      <c r="M80" s="2"/>
      <c r="N80" s="2"/>
      <c r="O80" s="2"/>
      <c r="P80" s="2"/>
      <c r="Q80" s="2"/>
      <c r="R80" s="2"/>
      <c r="S80" s="2"/>
      <c r="T80" s="2"/>
      <c r="U80" s="2"/>
    </row>
    <row r="81" customFormat="false" ht="15" hidden="false" customHeight="false" outlineLevel="0" collapsed="false">
      <c r="A81" s="2"/>
      <c r="B81" s="2"/>
      <c r="C81" s="2"/>
      <c r="D81" s="2"/>
      <c r="E81" s="2"/>
      <c r="F81" s="2"/>
      <c r="G81" s="2"/>
      <c r="H81" s="2"/>
      <c r="I81" s="2"/>
      <c r="J81" s="2"/>
      <c r="K81" s="2"/>
      <c r="L81" s="2"/>
      <c r="M81" s="2"/>
      <c r="N81" s="2"/>
      <c r="O81" s="2"/>
      <c r="P81" s="2"/>
      <c r="Q81" s="2"/>
      <c r="R81" s="2"/>
      <c r="S81" s="2"/>
      <c r="T81" s="2"/>
      <c r="U81" s="2"/>
    </row>
    <row r="82" customFormat="false" ht="15" hidden="false" customHeight="false" outlineLevel="0" collapsed="false">
      <c r="A82" s="2"/>
      <c r="B82" s="2"/>
      <c r="C82" s="2"/>
      <c r="D82" s="2"/>
      <c r="E82" s="2"/>
      <c r="F82" s="2"/>
      <c r="G82" s="2"/>
      <c r="H82" s="2"/>
      <c r="I82" s="2"/>
      <c r="J82" s="2"/>
      <c r="K82" s="2"/>
      <c r="L82" s="2"/>
      <c r="M82" s="2"/>
      <c r="N82" s="2"/>
      <c r="O82" s="2"/>
      <c r="P82" s="2"/>
      <c r="Q82" s="2"/>
      <c r="R82" s="2"/>
      <c r="S82" s="2"/>
      <c r="T82" s="2"/>
      <c r="U82" s="2"/>
    </row>
    <row r="83" customFormat="false" ht="15" hidden="false" customHeight="false" outlineLevel="0" collapsed="false">
      <c r="A83" s="2"/>
      <c r="B83" s="2"/>
      <c r="C83" s="2"/>
      <c r="D83" s="2"/>
      <c r="E83" s="2"/>
      <c r="F83" s="2"/>
      <c r="G83" s="2"/>
      <c r="H83" s="2"/>
      <c r="I83" s="2"/>
      <c r="J83" s="2"/>
      <c r="K83" s="2"/>
      <c r="L83" s="2"/>
      <c r="M83" s="2"/>
      <c r="N83" s="2"/>
      <c r="O83" s="2"/>
      <c r="P83" s="2"/>
      <c r="Q83" s="2"/>
      <c r="R83" s="2"/>
      <c r="S83" s="2"/>
      <c r="T83" s="2"/>
      <c r="U83" s="2"/>
    </row>
    <row r="84" customFormat="false" ht="15" hidden="false" customHeight="false" outlineLevel="0" collapsed="false">
      <c r="A84" s="2"/>
      <c r="B84" s="2"/>
      <c r="C84" s="2"/>
      <c r="D84" s="2"/>
      <c r="E84" s="2"/>
      <c r="F84" s="2"/>
      <c r="G84" s="2"/>
      <c r="H84" s="2"/>
      <c r="I84" s="2"/>
      <c r="J84" s="2"/>
      <c r="K84" s="2"/>
      <c r="L84" s="2"/>
      <c r="M84" s="2"/>
      <c r="N84" s="2"/>
      <c r="O84" s="2"/>
      <c r="P84" s="2"/>
      <c r="Q84" s="2"/>
      <c r="R84" s="2"/>
      <c r="S84" s="2"/>
      <c r="T84" s="2"/>
      <c r="U84" s="2"/>
    </row>
    <row r="85" customFormat="false" ht="15" hidden="false" customHeight="false" outlineLevel="0" collapsed="false">
      <c r="A85" s="2"/>
      <c r="B85" s="2"/>
      <c r="C85" s="2"/>
      <c r="D85" s="2"/>
      <c r="E85" s="2"/>
      <c r="F85" s="2"/>
      <c r="G85" s="2"/>
      <c r="H85" s="2"/>
      <c r="I85" s="2"/>
      <c r="J85" s="2"/>
      <c r="K85" s="2"/>
      <c r="L85" s="2"/>
      <c r="M85" s="2"/>
      <c r="N85" s="2"/>
      <c r="O85" s="2"/>
      <c r="P85" s="2"/>
      <c r="Q85" s="2"/>
      <c r="R85" s="2"/>
      <c r="S85" s="2"/>
      <c r="T85" s="2"/>
      <c r="U85" s="2"/>
    </row>
    <row r="86" customFormat="false" ht="15" hidden="false" customHeight="false" outlineLevel="0" collapsed="false">
      <c r="A86" s="2"/>
      <c r="B86" s="2"/>
      <c r="C86" s="2"/>
      <c r="D86" s="2"/>
      <c r="E86" s="2"/>
      <c r="F86" s="2"/>
      <c r="G86" s="2"/>
      <c r="H86" s="2"/>
      <c r="I86" s="2"/>
      <c r="J86" s="2"/>
      <c r="K86" s="2"/>
      <c r="L86" s="2"/>
      <c r="M86" s="2"/>
      <c r="N86" s="2"/>
      <c r="O86" s="2"/>
      <c r="P86" s="2"/>
      <c r="Q86" s="2"/>
      <c r="R86" s="2"/>
      <c r="S86" s="2"/>
      <c r="T86" s="2"/>
      <c r="U86" s="2"/>
    </row>
    <row r="87" customFormat="false" ht="15" hidden="false" customHeight="false" outlineLevel="0" collapsed="false">
      <c r="A87" s="2"/>
      <c r="B87" s="2"/>
      <c r="C87" s="2"/>
      <c r="D87" s="2"/>
      <c r="E87" s="2"/>
      <c r="F87" s="2"/>
      <c r="G87" s="2"/>
      <c r="H87" s="2"/>
      <c r="I87" s="2"/>
      <c r="J87" s="2"/>
      <c r="K87" s="2"/>
      <c r="L87" s="2"/>
      <c r="M87" s="2"/>
      <c r="N87" s="2"/>
      <c r="O87" s="2"/>
      <c r="P87" s="2"/>
      <c r="Q87" s="2"/>
      <c r="R87" s="2"/>
      <c r="S87" s="2"/>
      <c r="T87" s="2"/>
      <c r="U87" s="2"/>
    </row>
    <row r="88" customFormat="false" ht="15" hidden="false" customHeight="false" outlineLevel="0" collapsed="false">
      <c r="A88" s="2"/>
      <c r="B88" s="2"/>
      <c r="C88" s="2"/>
      <c r="D88" s="2"/>
      <c r="E88" s="2"/>
      <c r="F88" s="2"/>
      <c r="G88" s="2"/>
      <c r="H88" s="2"/>
      <c r="I88" s="2"/>
      <c r="J88" s="2"/>
      <c r="K88" s="2"/>
      <c r="L88" s="2"/>
      <c r="M88" s="2"/>
      <c r="N88" s="2"/>
      <c r="O88" s="2"/>
      <c r="P88" s="2"/>
      <c r="Q88" s="2"/>
      <c r="R88" s="2"/>
      <c r="S88" s="2"/>
      <c r="T88" s="2"/>
      <c r="U88" s="2"/>
    </row>
    <row r="89" customFormat="false" ht="15" hidden="false" customHeight="false" outlineLevel="0" collapsed="false">
      <c r="A89" s="2"/>
      <c r="B89" s="2"/>
      <c r="C89" s="2"/>
      <c r="D89" s="2"/>
      <c r="E89" s="2"/>
      <c r="F89" s="2"/>
      <c r="G89" s="2"/>
      <c r="H89" s="2"/>
      <c r="I89" s="2"/>
      <c r="J89" s="2"/>
      <c r="K89" s="2"/>
      <c r="L89" s="2"/>
      <c r="M89" s="2"/>
      <c r="N89" s="2"/>
      <c r="O89" s="2"/>
      <c r="P89" s="2"/>
      <c r="Q89" s="2"/>
      <c r="R89" s="2"/>
      <c r="S89" s="2"/>
      <c r="T89" s="2"/>
      <c r="U89" s="2"/>
    </row>
  </sheetData>
  <mergeCells count="12">
    <mergeCell ref="B2:T2"/>
    <mergeCell ref="B3:T3"/>
    <mergeCell ref="B5:E6"/>
    <mergeCell ref="G5:J6"/>
    <mergeCell ref="L5:O6"/>
    <mergeCell ref="Q5:T6"/>
    <mergeCell ref="V5:Y6"/>
    <mergeCell ref="B7:E9"/>
    <mergeCell ref="G7:J9"/>
    <mergeCell ref="L7:O9"/>
    <mergeCell ref="Q7:T9"/>
    <mergeCell ref="V7:Y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C6EF5"/>
    <pageSetUpPr fitToPage="false"/>
  </sheetPr>
  <dimension ref="A1:S1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6"/>
    <col collapsed="false" customWidth="true" hidden="false" outlineLevel="0" max="3" min="3" style="1" width="14"/>
    <col collapsed="false" customWidth="true" hidden="false" outlineLevel="0" max="4" min="4" style="1" width="16"/>
    <col collapsed="false" customWidth="true" hidden="false" outlineLevel="0" max="5" min="5" style="1" width="14"/>
    <col collapsed="false" customWidth="true" hidden="false" outlineLevel="0" max="6" min="6" style="1" width="8"/>
    <col collapsed="false" customWidth="true" hidden="false" outlineLevel="0" max="7" min="7" style="1" width="24"/>
    <col collapsed="false" customWidth="true" hidden="false" outlineLevel="0" max="8" min="8" style="1" width="12"/>
    <col collapsed="false" customWidth="true" hidden="false" outlineLevel="0" max="9" min="9" style="1" width="18"/>
    <col collapsed="false" customWidth="true" hidden="false" outlineLevel="0" max="10" min="10" style="1" width="16"/>
    <col collapsed="false" customWidth="true" hidden="false" outlineLevel="0" max="11" min="11" style="1" width="12"/>
    <col collapsed="false" customWidth="true" hidden="false" outlineLevel="0" max="12" min="12" style="1" width="14"/>
    <col collapsed="false" customWidth="true" hidden="false" outlineLevel="0" max="13" min="13" style="1" width="12"/>
    <col collapsed="false" customWidth="true" hidden="true" outlineLevel="0" max="18" min="15" style="1" width="13"/>
  </cols>
  <sheetData>
    <row r="1" customFormat="false" ht="16.15" hidden="false" customHeight="false" outlineLevel="0" collapsed="false">
      <c r="A1" s="10" t="s">
        <v>7</v>
      </c>
      <c r="B1" s="10"/>
      <c r="C1" s="10"/>
      <c r="D1" s="10"/>
      <c r="E1" s="11"/>
      <c r="F1" s="10" t="s">
        <v>8</v>
      </c>
      <c r="G1" s="10"/>
      <c r="H1" s="10"/>
      <c r="I1" s="10"/>
      <c r="J1" s="11"/>
      <c r="K1" s="10" t="s">
        <v>9</v>
      </c>
      <c r="L1" s="10"/>
      <c r="M1" s="10"/>
      <c r="N1" s="11"/>
      <c r="O1" s="10" t="s">
        <v>10</v>
      </c>
      <c r="P1" s="10"/>
      <c r="Q1" s="10"/>
      <c r="R1" s="10"/>
      <c r="S1" s="11"/>
    </row>
    <row r="2" customFormat="false" ht="15" hidden="false" customHeight="false" outlineLevel="0" collapsed="false">
      <c r="A2" s="12" t="s">
        <v>11</v>
      </c>
      <c r="B2" s="12" t="s">
        <v>12</v>
      </c>
      <c r="C2" s="12" t="s">
        <v>13</v>
      </c>
      <c r="D2" s="12" t="s">
        <v>14</v>
      </c>
      <c r="E2" s="11"/>
      <c r="F2" s="12" t="s">
        <v>15</v>
      </c>
      <c r="G2" s="12" t="s">
        <v>13</v>
      </c>
      <c r="H2" s="12" t="s">
        <v>12</v>
      </c>
      <c r="I2" s="12" t="s">
        <v>16</v>
      </c>
      <c r="J2" s="11"/>
      <c r="K2" s="12" t="s">
        <v>17</v>
      </c>
      <c r="L2" s="12" t="s">
        <v>13</v>
      </c>
      <c r="M2" s="12" t="s">
        <v>16</v>
      </c>
      <c r="N2" s="11"/>
      <c r="O2" s="12" t="s">
        <v>18</v>
      </c>
      <c r="P2" s="12" t="s">
        <v>12</v>
      </c>
      <c r="Q2" s="12" t="s">
        <v>13</v>
      </c>
      <c r="R2" s="12" t="s">
        <v>19</v>
      </c>
      <c r="S2" s="11"/>
    </row>
    <row r="3" customFormat="false" ht="15" hidden="false" customHeight="false" outlineLevel="0" collapsed="false">
      <c r="A3" s="13" t="n">
        <v>2000</v>
      </c>
      <c r="B3" s="14" t="n">
        <f aca="false">SUMIFS('Cleaned Data'!$G$5:$G$226,'Cleaned Data'!$E$5:$E$226,A3)</f>
        <v>1765383000</v>
      </c>
      <c r="C3" s="13" t="n">
        <f aca="false">COUNTIFS('Cleaned Data'!$E$5:$E$226,A3)</f>
        <v>10</v>
      </c>
      <c r="D3" s="15" t="n">
        <f aca="false">AVERAGEIFS('Cleaned Data'!$H$5:$H$226,'Cleaned Data'!$E$5:$E$226,A3)</f>
        <v>6.79</v>
      </c>
      <c r="E3" s="11"/>
      <c r="F3" s="13" t="s">
        <v>20</v>
      </c>
      <c r="G3" s="13" t="n">
        <f aca="false">COUNTIFS('Cleaned Data'!$C$5:$C$226,F3)</f>
        <v>16</v>
      </c>
      <c r="H3" s="14" t="n">
        <f aca="false">SUMIFS('Cleaned Data'!$G$5:$G$226,'Cleaned Data'!$C$5:$C$226,F3)</f>
        <v>4927039000</v>
      </c>
      <c r="I3" s="16" t="n">
        <f aca="false">G3/COUNTA('Cleaned Data'!$C$5:$C$226)</f>
        <v>0.0720720720720721</v>
      </c>
      <c r="J3" s="11"/>
      <c r="K3" s="13" t="s">
        <v>21</v>
      </c>
      <c r="L3" s="13" t="n">
        <f aca="false">COUNTIFS('Cleaned Data'!$J$5:$J$226,K3)</f>
        <v>13</v>
      </c>
      <c r="M3" s="16" t="n">
        <f aca="false">L3/COUNTA('Cleaned Data'!$J$5:$J$226)</f>
        <v>0.0585585585585586</v>
      </c>
      <c r="N3" s="11"/>
      <c r="O3" s="17" t="s">
        <v>22</v>
      </c>
      <c r="P3" s="18" t="n">
        <f aca="false">SUMIFS('Cleaned Data'!$G$5:$G$226,'Cleaned Data'!$D$5:$D$226,O3)</f>
        <v>32074000</v>
      </c>
      <c r="Q3" s="17" t="n">
        <f aca="false">COUNTIFS('Cleaned Data'!$D$5:$D$226,O3)</f>
        <v>1</v>
      </c>
      <c r="R3" s="18" t="n">
        <f aca="false">P3+ROW()/10000000</f>
        <v>32074000.0000003</v>
      </c>
      <c r="S3" s="11"/>
    </row>
    <row r="4" customFormat="false" ht="15" hidden="false" customHeight="false" outlineLevel="0" collapsed="false">
      <c r="A4" s="13" t="n">
        <v>2001</v>
      </c>
      <c r="B4" s="14" t="n">
        <f aca="false">SUMIFS('Cleaned Data'!$G$5:$G$226,'Cleaned Data'!$E$5:$E$226,A4)</f>
        <v>280442000</v>
      </c>
      <c r="C4" s="13" t="n">
        <f aca="false">COUNTIFS('Cleaned Data'!$E$5:$E$226,A4)</f>
        <v>4</v>
      </c>
      <c r="D4" s="15" t="n">
        <f aca="false">AVERAGEIFS('Cleaned Data'!$H$5:$H$226,'Cleaned Data'!$E$5:$E$226,A4)</f>
        <v>6.75</v>
      </c>
      <c r="E4" s="11"/>
      <c r="F4" s="13" t="s">
        <v>23</v>
      </c>
      <c r="G4" s="13" t="n">
        <f aca="false">COUNTIFS('Cleaned Data'!$C$5:$C$226,F4)</f>
        <v>15</v>
      </c>
      <c r="H4" s="14" t="n">
        <f aca="false">SUMIFS('Cleaned Data'!$G$5:$G$226,'Cleaned Data'!$C$5:$C$226,F4)</f>
        <v>3075929000</v>
      </c>
      <c r="I4" s="16" t="n">
        <f aca="false">G4/COUNTA('Cleaned Data'!$C$5:$C$226)</f>
        <v>0.0675675675675676</v>
      </c>
      <c r="J4" s="11"/>
      <c r="K4" s="13" t="s">
        <v>24</v>
      </c>
      <c r="L4" s="13" t="n">
        <f aca="false">COUNTIFS('Cleaned Data'!$J$5:$J$226,K4)</f>
        <v>24</v>
      </c>
      <c r="M4" s="16" t="n">
        <f aca="false">L4/COUNTA('Cleaned Data'!$J$5:$J$226)</f>
        <v>0.108108108108108</v>
      </c>
      <c r="N4" s="11"/>
      <c r="O4" s="17" t="s">
        <v>25</v>
      </c>
      <c r="P4" s="18" t="n">
        <f aca="false">SUMIFS('Cleaned Data'!$G$5:$G$226,'Cleaned Data'!$D$5:$D$226,O4)</f>
        <v>2062082000</v>
      </c>
      <c r="Q4" s="17" t="n">
        <f aca="false">COUNTIFS('Cleaned Data'!$D$5:$D$226,O4)</f>
        <v>7</v>
      </c>
      <c r="R4" s="18" t="n">
        <f aca="false">P4+ROW()/10000000</f>
        <v>2062082000</v>
      </c>
      <c r="S4" s="11"/>
    </row>
    <row r="5" customFormat="false" ht="15" hidden="false" customHeight="false" outlineLevel="0" collapsed="false">
      <c r="A5" s="13" t="n">
        <v>2002</v>
      </c>
      <c r="B5" s="14" t="n">
        <f aca="false">SUMIFS('Cleaned Data'!$G$5:$G$226,'Cleaned Data'!$E$5:$E$226,A5)</f>
        <v>3310716500</v>
      </c>
      <c r="C5" s="13" t="n">
        <f aca="false">COUNTIFS('Cleaned Data'!$E$5:$E$226,A5)</f>
        <v>16</v>
      </c>
      <c r="D5" s="15" t="n">
        <f aca="false">AVERAGEIFS('Cleaned Data'!$H$5:$H$226,'Cleaned Data'!$E$5:$E$226,A5)</f>
        <v>6.78125</v>
      </c>
      <c r="E5" s="11"/>
      <c r="F5" s="13" t="s">
        <v>26</v>
      </c>
      <c r="G5" s="13" t="n">
        <f aca="false">COUNTIFS('Cleaned Data'!$C$5:$C$226,F5)</f>
        <v>20</v>
      </c>
      <c r="H5" s="14" t="n">
        <f aca="false">SUMIFS('Cleaned Data'!$G$5:$G$226,'Cleaned Data'!$C$5:$C$226,F5)</f>
        <v>4177813000</v>
      </c>
      <c r="I5" s="16" t="n">
        <f aca="false">G5/COUNTA('Cleaned Data'!$C$5:$C$226)</f>
        <v>0.0900900900900901</v>
      </c>
      <c r="J5" s="11"/>
      <c r="K5" s="13" t="s">
        <v>27</v>
      </c>
      <c r="L5" s="13" t="n">
        <f aca="false">COUNTIFS('Cleaned Data'!$J$5:$J$226,K5)</f>
        <v>30</v>
      </c>
      <c r="M5" s="16" t="n">
        <f aca="false">L5/COUNTA('Cleaned Data'!$J$5:$J$226)</f>
        <v>0.135135135135135</v>
      </c>
      <c r="N5" s="11"/>
      <c r="O5" s="17" t="s">
        <v>28</v>
      </c>
      <c r="P5" s="18" t="n">
        <f aca="false">SUMIFS('Cleaned Data'!$G$5:$G$226,'Cleaned Data'!$D$5:$D$226,O5)</f>
        <v>1112908500</v>
      </c>
      <c r="Q5" s="17" t="n">
        <f aca="false">COUNTIFS('Cleaned Data'!$D$5:$D$226,O5)</f>
        <v>10</v>
      </c>
      <c r="R5" s="18" t="n">
        <f aca="false">P5+ROW()/10000000</f>
        <v>1112908500</v>
      </c>
      <c r="S5" s="11"/>
    </row>
    <row r="6" customFormat="false" ht="15" hidden="false" customHeight="false" outlineLevel="0" collapsed="false">
      <c r="A6" s="13" t="n">
        <v>2003</v>
      </c>
      <c r="B6" s="14" t="n">
        <f aca="false">SUMIFS('Cleaned Data'!$G$5:$G$226,'Cleaned Data'!$E$5:$E$226,A6)</f>
        <v>1206099000</v>
      </c>
      <c r="C6" s="13" t="n">
        <f aca="false">COUNTIFS('Cleaned Data'!$E$5:$E$226,A6)</f>
        <v>9</v>
      </c>
      <c r="D6" s="15" t="n">
        <f aca="false">AVERAGEIFS('Cleaned Data'!$H$5:$H$226,'Cleaned Data'!$E$5:$E$226,A6)</f>
        <v>5.86666666666667</v>
      </c>
      <c r="E6" s="11"/>
      <c r="F6" s="13" t="s">
        <v>29</v>
      </c>
      <c r="G6" s="13" t="n">
        <f aca="false">COUNTIFS('Cleaned Data'!$C$5:$C$226,F6)</f>
        <v>11</v>
      </c>
      <c r="H6" s="14" t="n">
        <f aca="false">SUMIFS('Cleaned Data'!$G$5:$G$226,'Cleaned Data'!$C$5:$C$226,F6)</f>
        <v>607203500</v>
      </c>
      <c r="I6" s="16" t="n">
        <f aca="false">G6/COUNTA('Cleaned Data'!$C$5:$C$226)</f>
        <v>0.0495495495495496</v>
      </c>
      <c r="J6" s="11"/>
      <c r="K6" s="13" t="s">
        <v>30</v>
      </c>
      <c r="L6" s="13" t="n">
        <f aca="false">COUNTIFS('Cleaned Data'!$J$5:$J$226,K6)</f>
        <v>24</v>
      </c>
      <c r="M6" s="16" t="n">
        <f aca="false">L6/COUNTA('Cleaned Data'!$J$5:$J$226)</f>
        <v>0.108108108108108</v>
      </c>
      <c r="N6" s="11"/>
      <c r="O6" s="17" t="s">
        <v>31</v>
      </c>
      <c r="P6" s="18" t="n">
        <f aca="false">SUMIFS('Cleaned Data'!$G$5:$G$226,'Cleaned Data'!$D$5:$D$226,O6)</f>
        <v>1941688000</v>
      </c>
      <c r="Q6" s="17" t="n">
        <f aca="false">COUNTIFS('Cleaned Data'!$D$5:$D$226,O6)</f>
        <v>12</v>
      </c>
      <c r="R6" s="18" t="n">
        <f aca="false">P6+ROW()/10000000</f>
        <v>1941688000</v>
      </c>
      <c r="S6" s="11"/>
    </row>
    <row r="7" customFormat="false" ht="15" hidden="false" customHeight="false" outlineLevel="0" collapsed="false">
      <c r="A7" s="13" t="n">
        <v>2004</v>
      </c>
      <c r="B7" s="14" t="n">
        <f aca="false">SUMIFS('Cleaned Data'!$G$5:$G$226,'Cleaned Data'!$E$5:$E$226,A7)</f>
        <v>2703789000</v>
      </c>
      <c r="C7" s="13" t="n">
        <f aca="false">COUNTIFS('Cleaned Data'!$E$5:$E$226,A7)</f>
        <v>14</v>
      </c>
      <c r="D7" s="15" t="n">
        <f aca="false">AVERAGEIFS('Cleaned Data'!$H$5:$H$226,'Cleaned Data'!$E$5:$E$226,A7)</f>
        <v>7.15714285714286</v>
      </c>
      <c r="E7" s="11"/>
      <c r="F7" s="13" t="s">
        <v>32</v>
      </c>
      <c r="G7" s="13" t="n">
        <f aca="false">COUNTIFS('Cleaned Data'!$C$5:$C$226,F7)</f>
        <v>19</v>
      </c>
      <c r="H7" s="14" t="n">
        <f aca="false">SUMIFS('Cleaned Data'!$G$5:$G$226,'Cleaned Data'!$C$5:$C$226,F7)</f>
        <v>2231703500</v>
      </c>
      <c r="I7" s="16" t="n">
        <f aca="false">G7/COUNTA('Cleaned Data'!$C$5:$C$226)</f>
        <v>0.0855855855855856</v>
      </c>
      <c r="J7" s="11"/>
      <c r="K7" s="13" t="s">
        <v>33</v>
      </c>
      <c r="L7" s="13" t="n">
        <f aca="false">COUNTIFS('Cleaned Data'!$J$5:$J$226,K7)</f>
        <v>27</v>
      </c>
      <c r="M7" s="16" t="n">
        <f aca="false">L7/COUNTA('Cleaned Data'!$J$5:$J$226)</f>
        <v>0.121621621621622</v>
      </c>
      <c r="N7" s="11"/>
      <c r="O7" s="17" t="s">
        <v>34</v>
      </c>
      <c r="P7" s="18" t="n">
        <f aca="false">SUMIFS('Cleaned Data'!$G$5:$G$226,'Cleaned Data'!$D$5:$D$226,O7)</f>
        <v>1280369000</v>
      </c>
      <c r="Q7" s="17" t="n">
        <f aca="false">COUNTIFS('Cleaned Data'!$D$5:$D$226,O7)</f>
        <v>6</v>
      </c>
      <c r="R7" s="18" t="n">
        <f aca="false">P7+ROW()/10000000</f>
        <v>1280369000</v>
      </c>
      <c r="S7" s="11"/>
    </row>
    <row r="8" customFormat="false" ht="15" hidden="false" customHeight="false" outlineLevel="0" collapsed="false">
      <c r="A8" s="13" t="n">
        <v>2005</v>
      </c>
      <c r="B8" s="14" t="n">
        <f aca="false">SUMIFS('Cleaned Data'!$G$5:$G$226,'Cleaned Data'!$E$5:$E$226,A8)</f>
        <v>667580000</v>
      </c>
      <c r="C8" s="13" t="n">
        <f aca="false">COUNTIFS('Cleaned Data'!$E$5:$E$226,A8)</f>
        <v>10</v>
      </c>
      <c r="D8" s="15" t="n">
        <f aca="false">AVERAGEIFS('Cleaned Data'!$H$5:$H$226,'Cleaned Data'!$E$5:$E$226,A8)</f>
        <v>6.64</v>
      </c>
      <c r="E8" s="11"/>
      <c r="F8" s="13" t="s">
        <v>35</v>
      </c>
      <c r="G8" s="13" t="n">
        <f aca="false">COUNTIFS('Cleaned Data'!$C$5:$C$226,F8)</f>
        <v>23</v>
      </c>
      <c r="H8" s="14" t="n">
        <f aca="false">SUMIFS('Cleaned Data'!$G$5:$G$226,'Cleaned Data'!$C$5:$C$226,F8)</f>
        <v>345296000</v>
      </c>
      <c r="I8" s="16" t="n">
        <f aca="false">G8/COUNTA('Cleaned Data'!$C$5:$C$226)</f>
        <v>0.103603603603604</v>
      </c>
      <c r="J8" s="11"/>
      <c r="K8" s="13" t="s">
        <v>36</v>
      </c>
      <c r="L8" s="13" t="n">
        <f aca="false">COUNTIFS('Cleaned Data'!$J$5:$J$226,K8)</f>
        <v>16</v>
      </c>
      <c r="M8" s="16" t="n">
        <f aca="false">L8/COUNTA('Cleaned Data'!$J$5:$J$226)</f>
        <v>0.0720720720720721</v>
      </c>
      <c r="N8" s="11"/>
      <c r="O8" s="17" t="s">
        <v>37</v>
      </c>
      <c r="P8" s="18" t="n">
        <f aca="false">SUMIFS('Cleaned Data'!$G$5:$G$226,'Cleaned Data'!$D$5:$D$226,O8)</f>
        <v>778541000</v>
      </c>
      <c r="Q8" s="17" t="n">
        <f aca="false">COUNTIFS('Cleaned Data'!$D$5:$D$226,O8)</f>
        <v>3</v>
      </c>
      <c r="R8" s="18" t="n">
        <f aca="false">P8+ROW()/10000000</f>
        <v>778541000.000001</v>
      </c>
      <c r="S8" s="11"/>
    </row>
    <row r="9" customFormat="false" ht="15" hidden="false" customHeight="false" outlineLevel="0" collapsed="false">
      <c r="A9" s="13" t="n">
        <v>2006</v>
      </c>
      <c r="B9" s="14" t="n">
        <f aca="false">SUMIFS('Cleaned Data'!$G$5:$G$226,'Cleaned Data'!$E$5:$E$226,A9)</f>
        <v>825324500</v>
      </c>
      <c r="C9" s="13" t="n">
        <f aca="false">COUNTIFS('Cleaned Data'!$E$5:$E$226,A9)</f>
        <v>7</v>
      </c>
      <c r="D9" s="15" t="n">
        <f aca="false">AVERAGEIFS('Cleaned Data'!$H$5:$H$226,'Cleaned Data'!$E$5:$E$226,A9)</f>
        <v>6.62857142857143</v>
      </c>
      <c r="E9" s="11"/>
      <c r="F9" s="13" t="s">
        <v>38</v>
      </c>
      <c r="G9" s="13" t="n">
        <f aca="false">COUNTIFS('Cleaned Data'!$C$5:$C$226,F9)</f>
        <v>21</v>
      </c>
      <c r="H9" s="14" t="n">
        <f aca="false">SUMIFS('Cleaned Data'!$G$5:$G$226,'Cleaned Data'!$C$5:$C$226,F9)</f>
        <v>1473572500</v>
      </c>
      <c r="I9" s="16" t="n">
        <f aca="false">G9/COUNTA('Cleaned Data'!$C$5:$C$226)</f>
        <v>0.0945945945945946</v>
      </c>
      <c r="J9" s="11"/>
      <c r="K9" s="13" t="s">
        <v>39</v>
      </c>
      <c r="L9" s="13" t="n">
        <f aca="false">COUNTIFS('Cleaned Data'!$J$5:$J$226,K9)</f>
        <v>19</v>
      </c>
      <c r="M9" s="16" t="n">
        <f aca="false">L9/COUNTA('Cleaned Data'!$J$5:$J$226)</f>
        <v>0.0855855855855856</v>
      </c>
      <c r="N9" s="11"/>
      <c r="O9" s="17" t="s">
        <v>40</v>
      </c>
      <c r="P9" s="18" t="n">
        <f aca="false">SUMIFS('Cleaned Data'!$G$5:$G$226,'Cleaned Data'!$D$5:$D$226,O9)</f>
        <v>714540000</v>
      </c>
      <c r="Q9" s="17" t="n">
        <f aca="false">COUNTIFS('Cleaned Data'!$D$5:$D$226,O9)</f>
        <v>7</v>
      </c>
      <c r="R9" s="18" t="n">
        <f aca="false">P9+ROW()/10000000</f>
        <v>714540000.000001</v>
      </c>
      <c r="S9" s="11"/>
    </row>
    <row r="10" customFormat="false" ht="15" hidden="false" customHeight="false" outlineLevel="0" collapsed="false">
      <c r="A10" s="13" t="n">
        <v>2007</v>
      </c>
      <c r="B10" s="14" t="n">
        <f aca="false">SUMIFS('Cleaned Data'!$G$5:$G$226,'Cleaned Data'!$E$5:$E$226,A10)</f>
        <v>753472000</v>
      </c>
      <c r="C10" s="13" t="n">
        <f aca="false">COUNTIFS('Cleaned Data'!$E$5:$E$226,A10)</f>
        <v>9</v>
      </c>
      <c r="D10" s="15" t="n">
        <f aca="false">AVERAGEIFS('Cleaned Data'!$H$5:$H$226,'Cleaned Data'!$E$5:$E$226,A10)</f>
        <v>5.9</v>
      </c>
      <c r="E10" s="11"/>
      <c r="F10" s="13" t="s">
        <v>41</v>
      </c>
      <c r="G10" s="13" t="n">
        <f aca="false">COUNTIFS('Cleaned Data'!$C$5:$C$226,F10)</f>
        <v>23</v>
      </c>
      <c r="H10" s="14" t="n">
        <f aca="false">SUMIFS('Cleaned Data'!$G$5:$G$226,'Cleaned Data'!$C$5:$C$226,F10)</f>
        <v>7733727000</v>
      </c>
      <c r="I10" s="16" t="n">
        <f aca="false">G10/COUNTA('Cleaned Data'!$C$5:$C$226)</f>
        <v>0.103603603603604</v>
      </c>
      <c r="J10" s="11"/>
      <c r="K10" s="13" t="s">
        <v>42</v>
      </c>
      <c r="L10" s="13" t="n">
        <f aca="false">COUNTIFS('Cleaned Data'!$J$5:$J$226,K10)</f>
        <v>25</v>
      </c>
      <c r="M10" s="16" t="n">
        <f aca="false">L10/COUNTA('Cleaned Data'!$J$5:$J$226)</f>
        <v>0.112612612612613</v>
      </c>
      <c r="N10" s="11"/>
      <c r="O10" s="17" t="s">
        <v>43</v>
      </c>
      <c r="P10" s="18" t="n">
        <f aca="false">SUMIFS('Cleaned Data'!$G$5:$G$226,'Cleaned Data'!$D$5:$D$226,O10)</f>
        <v>1169281000</v>
      </c>
      <c r="Q10" s="17" t="n">
        <f aca="false">COUNTIFS('Cleaned Data'!$D$5:$D$226,O10)</f>
        <v>5</v>
      </c>
      <c r="R10" s="18" t="n">
        <f aca="false">P10+ROW()/10000000</f>
        <v>1169281000</v>
      </c>
      <c r="S10" s="11"/>
    </row>
    <row r="11" customFormat="false" ht="15" hidden="false" customHeight="false" outlineLevel="0" collapsed="false">
      <c r="A11" s="13" t="n">
        <v>2008</v>
      </c>
      <c r="B11" s="14" t="n">
        <f aca="false">SUMIFS('Cleaned Data'!$G$5:$G$226,'Cleaned Data'!$E$5:$E$226,A11)</f>
        <v>2079789000</v>
      </c>
      <c r="C11" s="13" t="n">
        <f aca="false">COUNTIFS('Cleaned Data'!$E$5:$E$226,A11)</f>
        <v>8</v>
      </c>
      <c r="D11" s="15" t="n">
        <f aca="false">AVERAGEIFS('Cleaned Data'!$H$5:$H$226,'Cleaned Data'!$E$5:$E$226,A11)</f>
        <v>6.1375</v>
      </c>
      <c r="E11" s="11"/>
      <c r="F11" s="13" t="s">
        <v>44</v>
      </c>
      <c r="G11" s="13" t="n">
        <f aca="false">COUNTIFS('Cleaned Data'!$C$5:$C$226,F11)</f>
        <v>16</v>
      </c>
      <c r="H11" s="14" t="n">
        <f aca="false">SUMIFS('Cleaned Data'!$G$5:$G$226,'Cleaned Data'!$C$5:$C$226,F11)</f>
        <v>1239274000</v>
      </c>
      <c r="I11" s="16" t="n">
        <f aca="false">G11/COUNTA('Cleaned Data'!$C$5:$C$226)</f>
        <v>0.0720720720720721</v>
      </c>
      <c r="J11" s="11"/>
      <c r="K11" s="13" t="s">
        <v>45</v>
      </c>
      <c r="L11" s="13" t="n">
        <f aca="false">COUNTIFS('Cleaned Data'!$J$5:$J$226,K11)</f>
        <v>24</v>
      </c>
      <c r="M11" s="16" t="n">
        <f aca="false">L11/COUNTA('Cleaned Data'!$J$5:$J$226)</f>
        <v>0.108108108108108</v>
      </c>
      <c r="N11" s="11"/>
      <c r="O11" s="17" t="s">
        <v>46</v>
      </c>
      <c r="P11" s="18" t="n">
        <f aca="false">SUMIFS('Cleaned Data'!$G$5:$G$226,'Cleaned Data'!$D$5:$D$226,O11)</f>
        <v>544098000</v>
      </c>
      <c r="Q11" s="17" t="n">
        <f aca="false">COUNTIFS('Cleaned Data'!$D$5:$D$226,O11)</f>
        <v>9</v>
      </c>
      <c r="R11" s="18" t="n">
        <f aca="false">P11+ROW()/10000000</f>
        <v>544098000.000001</v>
      </c>
      <c r="S11" s="11"/>
    </row>
    <row r="12" customFormat="false" ht="15" hidden="false" customHeight="false" outlineLevel="0" collapsed="false">
      <c r="A12" s="13" t="n">
        <v>2009</v>
      </c>
      <c r="B12" s="14" t="n">
        <f aca="false">SUMIFS('Cleaned Data'!$G$5:$G$226,'Cleaned Data'!$E$5:$E$226,A12)</f>
        <v>815554000</v>
      </c>
      <c r="C12" s="13" t="n">
        <f aca="false">COUNTIFS('Cleaned Data'!$E$5:$E$226,A12)</f>
        <v>8</v>
      </c>
      <c r="D12" s="15" t="n">
        <f aca="false">AVERAGEIFS('Cleaned Data'!$H$5:$H$226,'Cleaned Data'!$E$5:$E$226,A12)</f>
        <v>5.925</v>
      </c>
      <c r="E12" s="11"/>
      <c r="F12" s="13" t="s">
        <v>47</v>
      </c>
      <c r="G12" s="13" t="n">
        <f aca="false">COUNTIFS('Cleaned Data'!$C$5:$C$226,F12)</f>
        <v>17</v>
      </c>
      <c r="H12" s="14" t="n">
        <f aca="false">SUMIFS('Cleaned Data'!$G$5:$G$226,'Cleaned Data'!$C$5:$C$226,F12)</f>
        <v>794524500</v>
      </c>
      <c r="I12" s="16" t="n">
        <f aca="false">G12/COUNTA('Cleaned Data'!$C$5:$C$226)</f>
        <v>0.0765765765765766</v>
      </c>
      <c r="J12" s="11"/>
      <c r="K12" s="13" t="s">
        <v>48</v>
      </c>
      <c r="L12" s="13" t="n">
        <f aca="false">COUNTIFS('Cleaned Data'!$J$5:$J$226,K12)</f>
        <v>17</v>
      </c>
      <c r="M12" s="16" t="n">
        <f aca="false">L12/COUNTA('Cleaned Data'!$J$5:$J$226)</f>
        <v>0.0765765765765766</v>
      </c>
      <c r="N12" s="11"/>
      <c r="O12" s="17" t="s">
        <v>49</v>
      </c>
      <c r="P12" s="18" t="n">
        <f aca="false">SUMIFS('Cleaned Data'!$G$5:$G$226,'Cleaned Data'!$D$5:$D$226,O12)</f>
        <v>2720814000</v>
      </c>
      <c r="Q12" s="17" t="n">
        <f aca="false">COUNTIFS('Cleaned Data'!$D$5:$D$226,O12)</f>
        <v>7</v>
      </c>
      <c r="R12" s="18" t="n">
        <f aca="false">P12+ROW()/10000000</f>
        <v>2720814000</v>
      </c>
      <c r="S12" s="11"/>
    </row>
    <row r="13" customFormat="false" ht="15" hidden="false" customHeight="false" outlineLevel="0" collapsed="false">
      <c r="A13" s="13" t="n">
        <v>2010</v>
      </c>
      <c r="B13" s="14" t="n">
        <f aca="false">SUMIFS('Cleaned Data'!$G$5:$G$226,'Cleaned Data'!$E$5:$E$226,A13)</f>
        <v>1367515000</v>
      </c>
      <c r="C13" s="13" t="n">
        <f aca="false">COUNTIFS('Cleaned Data'!$E$5:$E$226,A13)</f>
        <v>9</v>
      </c>
      <c r="D13" s="15" t="n">
        <f aca="false">AVERAGEIFS('Cleaned Data'!$H$5:$H$226,'Cleaned Data'!$E$5:$E$226,A13)</f>
        <v>6.82222222222222</v>
      </c>
      <c r="E13" s="11"/>
      <c r="F13" s="13" t="s">
        <v>50</v>
      </c>
      <c r="G13" s="13" t="n">
        <f aca="false">COUNTIFS('Cleaned Data'!$C$5:$C$226,F13)</f>
        <v>25</v>
      </c>
      <c r="H13" s="14" t="n">
        <f aca="false">SUMIFS('Cleaned Data'!$G$5:$G$226,'Cleaned Data'!$C$5:$C$226,F13)</f>
        <v>7220232000</v>
      </c>
      <c r="I13" s="16" t="n">
        <f aca="false">G13/COUNTA('Cleaned Data'!$C$5:$C$226)</f>
        <v>0.112612612612613</v>
      </c>
      <c r="J13" s="11"/>
      <c r="K13" s="13" t="s">
        <v>51</v>
      </c>
      <c r="L13" s="13" t="n">
        <f aca="false">COUNTIFS('Cleaned Data'!$J$5:$J$226,K13)</f>
        <v>3</v>
      </c>
      <c r="M13" s="16" t="n">
        <f aca="false">L13/COUNTA('Cleaned Data'!$J$5:$J$226)</f>
        <v>0.0135135135135135</v>
      </c>
      <c r="N13" s="11"/>
      <c r="O13" s="17" t="s">
        <v>52</v>
      </c>
      <c r="P13" s="18" t="n">
        <f aca="false">SUMIFS('Cleaned Data'!$G$5:$G$226,'Cleaned Data'!$D$5:$D$226,O13)</f>
        <v>233428000</v>
      </c>
      <c r="Q13" s="17" t="n">
        <f aca="false">COUNTIFS('Cleaned Data'!$D$5:$D$226,O13)</f>
        <v>6</v>
      </c>
      <c r="R13" s="18" t="n">
        <f aca="false">P13+ROW()/10000000</f>
        <v>233428000.000001</v>
      </c>
      <c r="S13" s="11"/>
    </row>
    <row r="14" customFormat="false" ht="15" hidden="false" customHeight="false" outlineLevel="0" collapsed="false">
      <c r="A14" s="13" t="n">
        <v>2011</v>
      </c>
      <c r="B14" s="14" t="n">
        <f aca="false">SUMIFS('Cleaned Data'!$G$5:$G$226,'Cleaned Data'!$E$5:$E$226,A14)</f>
        <v>709111000</v>
      </c>
      <c r="C14" s="13" t="n">
        <f aca="false">COUNTIFS('Cleaned Data'!$E$5:$E$226,A14)</f>
        <v>11</v>
      </c>
      <c r="D14" s="15" t="n">
        <f aca="false">AVERAGEIFS('Cleaned Data'!$H$5:$H$226,'Cleaned Data'!$E$5:$E$226,A14)</f>
        <v>6.22727272727273</v>
      </c>
      <c r="E14" s="11"/>
      <c r="F14" s="13" t="s">
        <v>53</v>
      </c>
      <c r="G14" s="13" t="n">
        <f aca="false">COUNTIFS('Cleaned Data'!$C$5:$C$226,F14)</f>
        <v>16</v>
      </c>
      <c r="H14" s="14" t="n">
        <f aca="false">SUMIFS('Cleaned Data'!$G$5:$G$226,'Cleaned Data'!$C$5:$C$226,F14)</f>
        <v>1599170000</v>
      </c>
      <c r="I14" s="16" t="n">
        <f aca="false">G14/COUNTA('Cleaned Data'!$C$5:$C$226)</f>
        <v>0.0720720720720721</v>
      </c>
      <c r="J14" s="11"/>
      <c r="K14" s="11"/>
      <c r="L14" s="11"/>
      <c r="M14" s="11"/>
      <c r="N14" s="11"/>
      <c r="O14" s="17" t="s">
        <v>54</v>
      </c>
      <c r="P14" s="18" t="n">
        <f aca="false">SUMIFS('Cleaned Data'!$G$5:$G$226,'Cleaned Data'!$D$5:$D$226,O14)</f>
        <v>1563723000</v>
      </c>
      <c r="Q14" s="17" t="n">
        <f aca="false">COUNTIFS('Cleaned Data'!$D$5:$D$226,O14)</f>
        <v>12</v>
      </c>
      <c r="R14" s="18" t="n">
        <f aca="false">P14+ROW()/10000000</f>
        <v>1563723000</v>
      </c>
      <c r="S14" s="11"/>
    </row>
    <row r="15" customFormat="false" ht="15" hidden="false" customHeight="false" outlineLevel="0" collapsed="false">
      <c r="A15" s="13" t="n">
        <v>2012</v>
      </c>
      <c r="B15" s="14" t="n">
        <f aca="false">SUMIFS('Cleaned Data'!$G$5:$G$226,'Cleaned Data'!$E$5:$E$226,A15)</f>
        <v>1555412000</v>
      </c>
      <c r="C15" s="13" t="n">
        <f aca="false">COUNTIFS('Cleaned Data'!$E$5:$E$226,A15)</f>
        <v>8</v>
      </c>
      <c r="D15" s="15" t="n">
        <f aca="false">AVERAGEIFS('Cleaned Data'!$H$5:$H$226,'Cleaned Data'!$E$5:$E$226,A15)</f>
        <v>6.8375</v>
      </c>
      <c r="E15" s="11"/>
      <c r="F15" s="11"/>
      <c r="G15" s="11"/>
      <c r="H15" s="11"/>
      <c r="I15" s="11"/>
      <c r="J15" s="11"/>
      <c r="K15" s="11"/>
      <c r="L15" s="11"/>
      <c r="M15" s="11"/>
      <c r="N15" s="11"/>
      <c r="O15" s="17" t="s">
        <v>55</v>
      </c>
      <c r="P15" s="18" t="n">
        <f aca="false">SUMIFS('Cleaned Data'!$G$5:$G$226,'Cleaned Data'!$D$5:$D$226,O15)</f>
        <v>2976056000</v>
      </c>
      <c r="Q15" s="17" t="n">
        <f aca="false">COUNTIFS('Cleaned Data'!$D$5:$D$226,O15)</f>
        <v>12</v>
      </c>
      <c r="R15" s="18" t="n">
        <f aca="false">P15+ROW()/10000000</f>
        <v>2976056000</v>
      </c>
      <c r="S15" s="11"/>
    </row>
    <row r="16" customFormat="false" ht="15" hidden="false" customHeight="false" outlineLevel="0" collapsed="false">
      <c r="A16" s="13" t="n">
        <v>2013</v>
      </c>
      <c r="B16" s="14" t="n">
        <f aca="false">SUMIFS('Cleaned Data'!$G$5:$G$226,'Cleaned Data'!$E$5:$E$226,A16)</f>
        <v>2691779000</v>
      </c>
      <c r="C16" s="13" t="n">
        <f aca="false">COUNTIFS('Cleaned Data'!$E$5:$E$226,A16)</f>
        <v>11</v>
      </c>
      <c r="D16" s="15" t="n">
        <f aca="false">AVERAGEIFS('Cleaned Data'!$H$5:$H$226,'Cleaned Data'!$E$5:$E$226,A16)</f>
        <v>6.42727272727273</v>
      </c>
      <c r="E16" s="11"/>
      <c r="F16" s="11"/>
      <c r="G16" s="11"/>
      <c r="H16" s="11"/>
      <c r="I16" s="11"/>
      <c r="J16" s="11"/>
      <c r="K16" s="11"/>
      <c r="L16" s="11"/>
      <c r="M16" s="11"/>
      <c r="N16" s="11"/>
      <c r="O16" s="17" t="s">
        <v>56</v>
      </c>
      <c r="P16" s="18" t="n">
        <f aca="false">SUMIFS('Cleaned Data'!$G$5:$G$226,'Cleaned Data'!$D$5:$D$226,O16)</f>
        <v>1514682000</v>
      </c>
      <c r="Q16" s="17" t="n">
        <f aca="false">COUNTIFS('Cleaned Data'!$D$5:$D$226,O16)</f>
        <v>11</v>
      </c>
      <c r="R16" s="18" t="n">
        <f aca="false">P16+ROW()/10000000</f>
        <v>1514682000</v>
      </c>
      <c r="S16" s="11"/>
    </row>
    <row r="17" customFormat="false" ht="15" hidden="false" customHeight="false" outlineLevel="0" collapsed="false">
      <c r="A17" s="13" t="n">
        <v>2014</v>
      </c>
      <c r="B17" s="14" t="n">
        <f aca="false">SUMIFS('Cleaned Data'!$G$5:$G$226,'Cleaned Data'!$E$5:$E$226,A17)</f>
        <v>829615500</v>
      </c>
      <c r="C17" s="13" t="n">
        <f aca="false">COUNTIFS('Cleaned Data'!$E$5:$E$226,A17)</f>
        <v>9</v>
      </c>
      <c r="D17" s="15" t="n">
        <f aca="false">AVERAGEIFS('Cleaned Data'!$H$5:$H$226,'Cleaned Data'!$E$5:$E$226,A17)</f>
        <v>6.46666666666667</v>
      </c>
      <c r="E17" s="11"/>
      <c r="F17" s="11"/>
      <c r="G17" s="11"/>
      <c r="H17" s="11"/>
      <c r="I17" s="11"/>
      <c r="J17" s="11"/>
      <c r="K17" s="11"/>
      <c r="L17" s="11"/>
      <c r="M17" s="11"/>
      <c r="N17" s="11"/>
      <c r="O17" s="17" t="s">
        <v>57</v>
      </c>
      <c r="P17" s="18" t="n">
        <f aca="false">SUMIFS('Cleaned Data'!$G$5:$G$226,'Cleaned Data'!$D$5:$D$226,O17)</f>
        <v>1459923000</v>
      </c>
      <c r="Q17" s="17" t="n">
        <f aca="false">COUNTIFS('Cleaned Data'!$D$5:$D$226,O17)</f>
        <v>8</v>
      </c>
      <c r="R17" s="18" t="n">
        <f aca="false">P17+ROW()/10000000</f>
        <v>1459923000</v>
      </c>
      <c r="S17" s="11"/>
    </row>
    <row r="18" customFormat="false" ht="15" hidden="false" customHeight="false" outlineLevel="0" collapsed="false">
      <c r="A18" s="13" t="n">
        <v>2015</v>
      </c>
      <c r="B18" s="14" t="n">
        <f aca="false">SUMIFS('Cleaned Data'!$G$5:$G$226,'Cleaned Data'!$E$5:$E$226,A18)</f>
        <v>1325713000</v>
      </c>
      <c r="C18" s="13" t="n">
        <f aca="false">COUNTIFS('Cleaned Data'!$E$5:$E$226,A18)</f>
        <v>4</v>
      </c>
      <c r="D18" s="15" t="n">
        <f aca="false">AVERAGEIFS('Cleaned Data'!$H$5:$H$226,'Cleaned Data'!$E$5:$E$226,A18)</f>
        <v>5.575</v>
      </c>
      <c r="E18" s="11"/>
      <c r="F18" s="11"/>
      <c r="G18" s="11"/>
      <c r="H18" s="11"/>
      <c r="I18" s="11"/>
      <c r="J18" s="11"/>
      <c r="K18" s="11"/>
      <c r="L18" s="11"/>
      <c r="M18" s="11"/>
      <c r="N18" s="11"/>
      <c r="O18" s="17" t="s">
        <v>58</v>
      </c>
      <c r="P18" s="18" t="n">
        <f aca="false">SUMIFS('Cleaned Data'!$G$5:$G$226,'Cleaned Data'!$D$5:$D$226,O18)</f>
        <v>412489000</v>
      </c>
      <c r="Q18" s="17" t="n">
        <f aca="false">COUNTIFS('Cleaned Data'!$D$5:$D$226,O18)</f>
        <v>5</v>
      </c>
      <c r="R18" s="18" t="n">
        <f aca="false">P18+ROW()/10000000</f>
        <v>412489000.000002</v>
      </c>
      <c r="S18" s="11"/>
    </row>
    <row r="19" customFormat="false" ht="15" hidden="false" customHeight="false" outlineLevel="0" collapsed="false">
      <c r="A19" s="13" t="n">
        <v>2016</v>
      </c>
      <c r="B19" s="14" t="n">
        <f aca="false">SUMIFS('Cleaned Data'!$G$5:$G$226,'Cleaned Data'!$E$5:$E$226,A19)</f>
        <v>1316185000</v>
      </c>
      <c r="C19" s="13" t="n">
        <f aca="false">COUNTIFS('Cleaned Data'!$E$5:$E$226,A19)</f>
        <v>8</v>
      </c>
      <c r="D19" s="15" t="n">
        <f aca="false">AVERAGEIFS('Cleaned Data'!$H$5:$H$226,'Cleaned Data'!$E$5:$E$226,A19)</f>
        <v>6.8625</v>
      </c>
      <c r="E19" s="11"/>
      <c r="F19" s="11"/>
      <c r="G19" s="11"/>
      <c r="H19" s="11"/>
      <c r="I19" s="11"/>
      <c r="J19" s="11"/>
      <c r="K19" s="11"/>
      <c r="L19" s="11"/>
      <c r="M19" s="11"/>
      <c r="N19" s="11"/>
      <c r="O19" s="17" t="s">
        <v>59</v>
      </c>
      <c r="P19" s="18" t="n">
        <f aca="false">SUMIFS('Cleaned Data'!$G$5:$G$226,'Cleaned Data'!$D$5:$D$226,O19)</f>
        <v>754702000</v>
      </c>
      <c r="Q19" s="17" t="n">
        <f aca="false">COUNTIFS('Cleaned Data'!$D$5:$D$226,O19)</f>
        <v>5</v>
      </c>
      <c r="R19" s="18" t="n">
        <f aca="false">P19+ROW()/10000000</f>
        <v>754702000.000002</v>
      </c>
      <c r="S19" s="11"/>
    </row>
    <row r="20" customFormat="false" ht="15" hidden="false" customHeight="false" outlineLevel="0" collapsed="false">
      <c r="A20" s="13" t="n">
        <v>2017</v>
      </c>
      <c r="B20" s="14" t="n">
        <f aca="false">SUMIFS('Cleaned Data'!$G$5:$G$226,'Cleaned Data'!$E$5:$E$226,A20)</f>
        <v>631051000</v>
      </c>
      <c r="C20" s="13" t="n">
        <f aca="false">COUNTIFS('Cleaned Data'!$E$5:$E$226,A20)</f>
        <v>7</v>
      </c>
      <c r="D20" s="15" t="n">
        <f aca="false">AVERAGEIFS('Cleaned Data'!$H$5:$H$226,'Cleaned Data'!$E$5:$E$226,A20)</f>
        <v>7.21428571428571</v>
      </c>
      <c r="E20" s="11"/>
      <c r="F20" s="11"/>
      <c r="G20" s="11"/>
      <c r="H20" s="11"/>
      <c r="I20" s="11"/>
      <c r="J20" s="11"/>
      <c r="K20" s="11"/>
      <c r="L20" s="11"/>
      <c r="M20" s="11"/>
      <c r="N20" s="11"/>
      <c r="O20" s="17" t="s">
        <v>60</v>
      </c>
      <c r="P20" s="18" t="n">
        <f aca="false">SUMIFS('Cleaned Data'!$G$5:$G$226,'Cleaned Data'!$D$5:$D$226,O20)</f>
        <v>1590974000</v>
      </c>
      <c r="Q20" s="17" t="n">
        <f aca="false">COUNTIFS('Cleaned Data'!$D$5:$D$226,O20)</f>
        <v>7</v>
      </c>
      <c r="R20" s="18" t="n">
        <f aca="false">P20+ROW()/10000000</f>
        <v>1590974000</v>
      </c>
      <c r="S20" s="11"/>
    </row>
    <row r="21" customFormat="false" ht="15" hidden="false" customHeight="false" outlineLevel="0" collapsed="false">
      <c r="A21" s="13" t="n">
        <v>2018</v>
      </c>
      <c r="B21" s="14" t="n">
        <f aca="false">SUMIFS('Cleaned Data'!$G$5:$G$226,'Cleaned Data'!$E$5:$E$226,A21)</f>
        <v>1760846000</v>
      </c>
      <c r="C21" s="13" t="n">
        <f aca="false">COUNTIFS('Cleaned Data'!$E$5:$E$226,A21)</f>
        <v>9</v>
      </c>
      <c r="D21" s="15" t="n">
        <f aca="false">AVERAGEIFS('Cleaned Data'!$H$5:$H$226,'Cleaned Data'!$E$5:$E$226,A21)</f>
        <v>6.71111111111111</v>
      </c>
      <c r="E21" s="11"/>
      <c r="F21" s="11"/>
      <c r="G21" s="11"/>
      <c r="H21" s="11"/>
      <c r="I21" s="11"/>
      <c r="J21" s="11"/>
      <c r="K21" s="11"/>
      <c r="L21" s="11"/>
      <c r="M21" s="11"/>
      <c r="N21" s="11"/>
      <c r="O21" s="17" t="s">
        <v>61</v>
      </c>
      <c r="P21" s="18" t="n">
        <f aca="false">SUMIFS('Cleaned Data'!$G$5:$G$226,'Cleaned Data'!$D$5:$D$226,O21)</f>
        <v>968665000</v>
      </c>
      <c r="Q21" s="17" t="n">
        <f aca="false">COUNTIFS('Cleaned Data'!$D$5:$D$226,O21)</f>
        <v>7</v>
      </c>
      <c r="R21" s="18" t="n">
        <f aca="false">P21+ROW()/10000000</f>
        <v>968665000.000002</v>
      </c>
      <c r="S21" s="11"/>
    </row>
    <row r="22" customFormat="false" ht="15" hidden="false" customHeight="false" outlineLevel="0" collapsed="false">
      <c r="A22" s="13" t="n">
        <v>2019</v>
      </c>
      <c r="B22" s="14" t="n">
        <f aca="false">SUMIFS('Cleaned Data'!$G$5:$G$226,'Cleaned Data'!$E$5:$E$226,A22)</f>
        <v>1419054000</v>
      </c>
      <c r="C22" s="13" t="n">
        <f aca="false">COUNTIFS('Cleaned Data'!$E$5:$E$226,A22)</f>
        <v>10</v>
      </c>
      <c r="D22" s="15" t="n">
        <f aca="false">AVERAGEIFS('Cleaned Data'!$H$5:$H$226,'Cleaned Data'!$E$5:$E$226,A22)</f>
        <v>6.65</v>
      </c>
      <c r="E22" s="11"/>
      <c r="F22" s="11"/>
      <c r="G22" s="11"/>
      <c r="H22" s="11"/>
      <c r="I22" s="11"/>
      <c r="J22" s="11"/>
      <c r="K22" s="11"/>
      <c r="L22" s="11"/>
      <c r="M22" s="11"/>
      <c r="N22" s="11"/>
      <c r="O22" s="17" t="s">
        <v>62</v>
      </c>
      <c r="P22" s="18" t="n">
        <f aca="false">SUMIFS('Cleaned Data'!$G$5:$G$226,'Cleaned Data'!$D$5:$D$226,O22)</f>
        <v>451138000</v>
      </c>
      <c r="Q22" s="17" t="n">
        <f aca="false">COUNTIFS('Cleaned Data'!$D$5:$D$226,O22)</f>
        <v>7</v>
      </c>
      <c r="R22" s="18" t="n">
        <f aca="false">P22+ROW()/10000000</f>
        <v>451138000.000002</v>
      </c>
      <c r="S22" s="11"/>
    </row>
    <row r="23" customFormat="false" ht="15" hidden="false" customHeight="false" outlineLevel="0" collapsed="false">
      <c r="A23" s="13" t="n">
        <v>2020</v>
      </c>
      <c r="B23" s="14" t="n">
        <f aca="false">SUMIFS('Cleaned Data'!$G$5:$G$226,'Cleaned Data'!$E$5:$E$226,A23)</f>
        <v>4736750000</v>
      </c>
      <c r="C23" s="13" t="n">
        <f aca="false">COUNTIFS('Cleaned Data'!$E$5:$E$226,A23)</f>
        <v>12</v>
      </c>
      <c r="D23" s="15" t="n">
        <f aca="false">AVERAGEIFS('Cleaned Data'!$H$5:$H$226,'Cleaned Data'!$E$5:$E$226,A23)</f>
        <v>6.15</v>
      </c>
      <c r="E23" s="11"/>
      <c r="F23" s="11"/>
      <c r="G23" s="11"/>
      <c r="H23" s="11"/>
      <c r="I23" s="11"/>
      <c r="J23" s="11"/>
      <c r="K23" s="11"/>
      <c r="L23" s="11"/>
      <c r="M23" s="11"/>
      <c r="N23" s="11"/>
      <c r="O23" s="17" t="s">
        <v>63</v>
      </c>
      <c r="P23" s="18" t="n">
        <f aca="false">SUMIFS('Cleaned Data'!$G$5:$G$226,'Cleaned Data'!$D$5:$D$226,O23)</f>
        <v>2547597000</v>
      </c>
      <c r="Q23" s="17" t="n">
        <f aca="false">COUNTIFS('Cleaned Data'!$D$5:$D$226,O23)</f>
        <v>14</v>
      </c>
      <c r="R23" s="18" t="n">
        <f aca="false">P23+ROW()/10000000</f>
        <v>2547597000</v>
      </c>
      <c r="S23" s="11"/>
    </row>
    <row r="24" customFormat="false" ht="15" hidden="false" customHeight="false" outlineLevel="0" collapsed="false">
      <c r="A24" s="13" t="n">
        <v>2021</v>
      </c>
      <c r="B24" s="14" t="n">
        <f aca="false">SUMIFS('Cleaned Data'!$G$5:$G$226,'Cleaned Data'!$E$5:$E$226,A24)</f>
        <v>1085706000</v>
      </c>
      <c r="C24" s="13" t="n">
        <f aca="false">COUNTIFS('Cleaned Data'!$E$5:$E$226,A24)</f>
        <v>11</v>
      </c>
      <c r="D24" s="15" t="n">
        <f aca="false">AVERAGEIFS('Cleaned Data'!$H$5:$H$226,'Cleaned Data'!$E$5:$E$226,A24)</f>
        <v>7.23636363636364</v>
      </c>
      <c r="E24" s="11"/>
      <c r="F24" s="11"/>
      <c r="G24" s="11"/>
      <c r="H24" s="11"/>
      <c r="I24" s="11"/>
      <c r="J24" s="11"/>
      <c r="K24" s="11"/>
      <c r="L24" s="11"/>
      <c r="M24" s="11"/>
      <c r="N24" s="11"/>
      <c r="O24" s="17" t="s">
        <v>64</v>
      </c>
      <c r="P24" s="18" t="n">
        <f aca="false">SUMIFS('Cleaned Data'!$G$5:$G$226,'Cleaned Data'!$D$5:$D$226,O24)</f>
        <v>1117734000</v>
      </c>
      <c r="Q24" s="17" t="n">
        <f aca="false">COUNTIFS('Cleaned Data'!$D$5:$D$226,O24)</f>
        <v>4</v>
      </c>
      <c r="R24" s="18" t="n">
        <f aca="false">P24+ROW()/10000000</f>
        <v>1117734000</v>
      </c>
      <c r="S24" s="11"/>
    </row>
    <row r="25" customFormat="false" ht="15" hidden="false" customHeight="false" outlineLevel="0" collapsed="false">
      <c r="A25" s="13" t="n">
        <v>2022</v>
      </c>
      <c r="B25" s="14" t="n">
        <f aca="false">SUMIFS('Cleaned Data'!$G$5:$G$226,'Cleaned Data'!$E$5:$E$226,A25)</f>
        <v>751841500</v>
      </c>
      <c r="C25" s="13" t="n">
        <f aca="false">COUNTIFS('Cleaned Data'!$E$5:$E$226,A25)</f>
        <v>7</v>
      </c>
      <c r="D25" s="15" t="n">
        <f aca="false">AVERAGEIFS('Cleaned Data'!$H$5:$H$226,'Cleaned Data'!$E$5:$E$226,A25)</f>
        <v>6.52857142857143</v>
      </c>
      <c r="E25" s="11"/>
      <c r="F25" s="11"/>
      <c r="G25" s="11"/>
      <c r="H25" s="11"/>
      <c r="I25" s="11"/>
      <c r="J25" s="11"/>
      <c r="K25" s="11"/>
      <c r="L25" s="11"/>
      <c r="M25" s="11"/>
      <c r="N25" s="11"/>
      <c r="O25" s="17" t="s">
        <v>65</v>
      </c>
      <c r="P25" s="18" t="n">
        <f aca="false">SUMIFS('Cleaned Data'!$G$5:$G$226,'Cleaned Data'!$D$5:$D$226,O25)</f>
        <v>795730000</v>
      </c>
      <c r="Q25" s="17" t="n">
        <f aca="false">COUNTIFS('Cleaned Data'!$D$5:$D$226,O25)</f>
        <v>7</v>
      </c>
      <c r="R25" s="18" t="n">
        <f aca="false">P25+ROW()/10000000</f>
        <v>795730000.000003</v>
      </c>
      <c r="S25" s="11"/>
    </row>
    <row r="26" customFormat="false" ht="15" hidden="false" customHeight="false" outlineLevel="0" collapsed="false">
      <c r="A26" s="13" t="n">
        <v>2023</v>
      </c>
      <c r="B26" s="14" t="n">
        <f aca="false">SUMIFS('Cleaned Data'!$G$5:$G$226,'Cleaned Data'!$E$5:$E$226,A26)</f>
        <v>408793000</v>
      </c>
      <c r="C26" s="13" t="n">
        <f aca="false">COUNTIFS('Cleaned Data'!$E$5:$E$226,A26)</f>
        <v>5</v>
      </c>
      <c r="D26" s="15" t="n">
        <f aca="false">AVERAGEIFS('Cleaned Data'!$H$5:$H$226,'Cleaned Data'!$E$5:$E$226,A26)</f>
        <v>7.06</v>
      </c>
      <c r="E26" s="11"/>
      <c r="F26" s="11"/>
      <c r="G26" s="11"/>
      <c r="H26" s="11"/>
      <c r="I26" s="11"/>
      <c r="J26" s="11"/>
      <c r="K26" s="11"/>
      <c r="L26" s="11"/>
      <c r="M26" s="11"/>
      <c r="N26" s="11"/>
      <c r="O26" s="17" t="s">
        <v>66</v>
      </c>
      <c r="P26" s="18" t="n">
        <f aca="false">SUMIFS('Cleaned Data'!$G$5:$G$226,'Cleaned Data'!$D$5:$D$226,O26)</f>
        <v>164491500</v>
      </c>
      <c r="Q26" s="17" t="n">
        <f aca="false">COUNTIFS('Cleaned Data'!$D$5:$D$226,O26)</f>
        <v>3</v>
      </c>
      <c r="R26" s="18" t="n">
        <f aca="false">P26+ROW()/10000000</f>
        <v>164491500.000003</v>
      </c>
      <c r="S26" s="11"/>
    </row>
    <row r="27" customFormat="false" ht="15" hidden="false" customHeight="false" outlineLevel="0" collapsed="false">
      <c r="A27" s="13" t="n">
        <v>2024</v>
      </c>
      <c r="B27" s="14" t="n">
        <f aca="false">SUMIFS('Cleaned Data'!$G$5:$G$226,'Cleaned Data'!$E$5:$E$226,A27)</f>
        <v>427963000</v>
      </c>
      <c r="C27" s="13" t="n">
        <f aca="false">COUNTIFS('Cleaned Data'!$E$5:$E$226,A27)</f>
        <v>6</v>
      </c>
      <c r="D27" s="15" t="n">
        <f aca="false">AVERAGEIFS('Cleaned Data'!$H$5:$H$226,'Cleaned Data'!$E$5:$E$226,A27)</f>
        <v>6.18333333333333</v>
      </c>
      <c r="E27" s="11"/>
      <c r="F27" s="11"/>
      <c r="G27" s="11"/>
      <c r="H27" s="11"/>
      <c r="I27" s="11"/>
      <c r="J27" s="11"/>
      <c r="K27" s="11"/>
      <c r="L27" s="11"/>
      <c r="M27" s="11"/>
      <c r="N27" s="11"/>
      <c r="O27" s="17" t="s">
        <v>67</v>
      </c>
      <c r="P27" s="18" t="n">
        <f aca="false">SUMIFS('Cleaned Data'!$G$5:$G$226,'Cleaned Data'!$D$5:$D$226,O27)</f>
        <v>427617000</v>
      </c>
      <c r="Q27" s="17" t="n">
        <f aca="false">COUNTIFS('Cleaned Data'!$D$5:$D$226,O27)</f>
        <v>5</v>
      </c>
      <c r="R27" s="18" t="n">
        <f aca="false">P27+ROW()/10000000</f>
        <v>427617000.000003</v>
      </c>
      <c r="S27" s="11"/>
    </row>
    <row r="28" customFormat="false" ht="15" hidden="false" customHeight="false" outlineLevel="0" collapsed="false">
      <c r="A28" s="11"/>
      <c r="B28" s="11"/>
      <c r="C28" s="11"/>
      <c r="D28" s="11"/>
      <c r="E28" s="11"/>
      <c r="F28" s="11"/>
      <c r="G28" s="11"/>
      <c r="H28" s="11"/>
      <c r="I28" s="11"/>
      <c r="J28" s="11"/>
      <c r="K28" s="11"/>
      <c r="L28" s="11"/>
      <c r="M28" s="11"/>
      <c r="N28" s="11"/>
      <c r="O28" s="17" t="s">
        <v>68</v>
      </c>
      <c r="P28" s="18" t="n">
        <f aca="false">SUMIFS('Cleaned Data'!$G$5:$G$226,'Cleaned Data'!$D$5:$D$226,O28)</f>
        <v>1059556000</v>
      </c>
      <c r="Q28" s="17" t="n">
        <f aca="false">COUNTIFS('Cleaned Data'!$D$5:$D$226,O28)</f>
        <v>6</v>
      </c>
      <c r="R28" s="18" t="n">
        <f aca="false">P28+ROW()/10000000</f>
        <v>1059556000</v>
      </c>
      <c r="S28" s="11"/>
    </row>
    <row r="29" customFormat="false" ht="15" hidden="false" customHeight="false" outlineLevel="0" collapsed="false">
      <c r="A29" s="11"/>
      <c r="B29" s="11"/>
      <c r="C29" s="11"/>
      <c r="D29" s="11"/>
      <c r="E29" s="11"/>
      <c r="F29" s="11"/>
      <c r="G29" s="11"/>
      <c r="H29" s="11"/>
      <c r="I29" s="11"/>
      <c r="J29" s="11"/>
      <c r="K29" s="11"/>
      <c r="L29" s="11"/>
      <c r="M29" s="11"/>
      <c r="N29" s="11"/>
      <c r="O29" s="17" t="s">
        <v>69</v>
      </c>
      <c r="P29" s="18" t="n">
        <f aca="false">SUMIFS('Cleaned Data'!$G$5:$G$226,'Cleaned Data'!$D$5:$D$226,O29)</f>
        <v>1435564500</v>
      </c>
      <c r="Q29" s="17" t="n">
        <f aca="false">COUNTIFS('Cleaned Data'!$D$5:$D$226,O29)</f>
        <v>7</v>
      </c>
      <c r="R29" s="18" t="n">
        <f aca="false">P29+ROW()/10000000</f>
        <v>1435564500</v>
      </c>
      <c r="S29" s="11"/>
    </row>
    <row r="30" customFormat="false" ht="16.15" hidden="false" customHeight="false" outlineLevel="0" collapsed="false">
      <c r="A30" s="10" t="s">
        <v>70</v>
      </c>
      <c r="B30" s="10"/>
      <c r="C30" s="10"/>
      <c r="D30" s="10"/>
      <c r="E30" s="11"/>
      <c r="F30" s="10" t="s">
        <v>71</v>
      </c>
      <c r="G30" s="10"/>
      <c r="H30" s="10"/>
      <c r="I30" s="10"/>
      <c r="J30" s="10"/>
      <c r="K30" s="11"/>
      <c r="L30" s="11"/>
      <c r="M30" s="11"/>
      <c r="N30" s="11"/>
      <c r="O30" s="17" t="s">
        <v>72</v>
      </c>
      <c r="P30" s="18" t="n">
        <f aca="false">SUMIFS('Cleaned Data'!$G$5:$G$226,'Cleaned Data'!$D$5:$D$226,O30)</f>
        <v>1839293000</v>
      </c>
      <c r="Q30" s="17" t="n">
        <f aca="false">COUNTIFS('Cleaned Data'!$D$5:$D$226,O30)</f>
        <v>10</v>
      </c>
      <c r="R30" s="18" t="n">
        <f aca="false">P30+ROW()/10000000</f>
        <v>1839293000</v>
      </c>
      <c r="S30" s="11"/>
    </row>
    <row r="31" customFormat="false" ht="15" hidden="false" customHeight="false" outlineLevel="0" collapsed="false">
      <c r="A31" s="12" t="s">
        <v>73</v>
      </c>
      <c r="B31" s="12" t="s">
        <v>18</v>
      </c>
      <c r="C31" s="12" t="s">
        <v>12</v>
      </c>
      <c r="D31" s="12" t="s">
        <v>13</v>
      </c>
      <c r="E31" s="11"/>
      <c r="F31" s="12" t="s">
        <v>73</v>
      </c>
      <c r="G31" s="12" t="s">
        <v>74</v>
      </c>
      <c r="H31" s="12" t="s">
        <v>15</v>
      </c>
      <c r="I31" s="12" t="s">
        <v>18</v>
      </c>
      <c r="J31" s="12" t="s">
        <v>75</v>
      </c>
      <c r="K31" s="11"/>
      <c r="L31" s="11"/>
      <c r="M31" s="11"/>
      <c r="N31" s="11"/>
      <c r="O31" s="17" t="s">
        <v>51</v>
      </c>
      <c r="P31" s="18" t="n">
        <f aca="false">SUMIFS('Cleaned Data'!$G$5:$G$226,'Cleaned Data'!$D$5:$D$226,O31)</f>
        <v>250728000</v>
      </c>
      <c r="Q31" s="17" t="n">
        <f aca="false">COUNTIFS('Cleaned Data'!$D$5:$D$226,O31)</f>
        <v>4</v>
      </c>
      <c r="R31" s="18" t="n">
        <f aca="false">P31+ROW()/10000000</f>
        <v>250728000.000003</v>
      </c>
      <c r="S31" s="11"/>
    </row>
    <row r="32" customFormat="false" ht="15" hidden="false" customHeight="false" outlineLevel="0" collapsed="false">
      <c r="A32" s="13" t="n">
        <v>1</v>
      </c>
      <c r="B32" s="19" t="str">
        <f aca="false">INDEX($O$3:$O$33,MATCH(LARGE($R$3:$R$33,1),$R$3:$R$33,0))</f>
        <v>Isabella Rossi</v>
      </c>
      <c r="C32" s="14" t="n">
        <f aca="false">INDEX($P$3:$P$33,MATCH(LARGE($R$3:$R$33,1),$R$3:$R$33,0))</f>
        <v>2976056000</v>
      </c>
      <c r="D32" s="13" t="n">
        <f aca="false">INDEX($Q$3:$Q$33,MATCH(LARGE($R$3:$R$33,1),$R$3:$R$33,0))</f>
        <v>12</v>
      </c>
      <c r="E32" s="11"/>
      <c r="F32" s="13" t="n">
        <v>1</v>
      </c>
      <c r="G32" s="19" t="str">
        <f aca="false">INDEX('Cleaned Data'!$B$5:$B$226,MATCH(LARGE('Cleaned Data'!$O$5:$O$226,1),'Cleaned Data'!$O$5:$O$226,0))</f>
        <v>Lost Requiem</v>
      </c>
      <c r="H32" s="13" t="str">
        <f aca="false">INDEX('Cleaned Data'!$C$5:$C$226,MATCH(LARGE('Cleaned Data'!$O$5:$O$226,1),'Cleaned Data'!$O$5:$O$226,0))</f>
        <v>Fantasy</v>
      </c>
      <c r="I32" s="13" t="str">
        <f aca="false">INDEX('Cleaned Data'!$D$5:$D$226,MATCH(LARGE('Cleaned Data'!$O$5:$O$226,1),'Cleaned Data'!$O$5:$O$226,0))</f>
        <v>Isabella Rossi</v>
      </c>
      <c r="J32" s="14" t="n">
        <f aca="false">INDEX('Cleaned Data'!$G$5:$G$226,MATCH(LARGE('Cleaned Data'!$O$5:$O$226,1),'Cleaned Data'!$O$5:$O$226,0))</f>
        <v>1456529000</v>
      </c>
      <c r="K32" s="11"/>
      <c r="L32" s="11"/>
      <c r="M32" s="11"/>
      <c r="N32" s="11"/>
      <c r="O32" s="17" t="s">
        <v>76</v>
      </c>
      <c r="P32" s="18" t="n">
        <f aca="false">SUMIFS('Cleaned Data'!$G$5:$G$226,'Cleaned Data'!$D$5:$D$226,O32)</f>
        <v>845946500</v>
      </c>
      <c r="Q32" s="17" t="n">
        <f aca="false">COUNTIFS('Cleaned Data'!$D$5:$D$226,O32)</f>
        <v>10</v>
      </c>
      <c r="R32" s="18" t="n">
        <f aca="false">P32+ROW()/10000000</f>
        <v>845946500.000003</v>
      </c>
      <c r="S32" s="11"/>
    </row>
    <row r="33" customFormat="false" ht="15" hidden="false" customHeight="false" outlineLevel="0" collapsed="false">
      <c r="A33" s="13" t="n">
        <v>2</v>
      </c>
      <c r="B33" s="19" t="str">
        <f aca="false">INDEX($O$3:$O$33,MATCH(LARGE($R$3:$R$33,2),$R$3:$R$33,0))</f>
        <v>Grace Kim</v>
      </c>
      <c r="C33" s="14" t="n">
        <f aca="false">INDEX($P$3:$P$33,MATCH(LARGE($R$3:$R$33,2),$R$3:$R$33,0))</f>
        <v>2720814000</v>
      </c>
      <c r="D33" s="13" t="n">
        <f aca="false">INDEX($Q$3:$Q$33,MATCH(LARGE($R$3:$R$33,2),$R$3:$R$33,0))</f>
        <v>7</v>
      </c>
      <c r="E33" s="11"/>
      <c r="F33" s="13" t="n">
        <v>2</v>
      </c>
      <c r="G33" s="19" t="str">
        <f aca="false">INDEX('Cleaned Data'!$B$5:$B$226,MATCH(LARGE('Cleaned Data'!$O$5:$O$226,2),'Cleaned Data'!$O$5:$O$226,0))</f>
        <v>Silver Horizon</v>
      </c>
      <c r="H33" s="13" t="str">
        <f aca="false">INDEX('Cleaned Data'!$C$5:$C$226,MATCH(LARGE('Cleaned Data'!$O$5:$O$226,2),'Cleaned Data'!$O$5:$O$226,0))</f>
        <v>Sci-Fi</v>
      </c>
      <c r="I33" s="13" t="str">
        <f aca="false">INDEX('Cleaned Data'!$D$5:$D$226,MATCH(LARGE('Cleaned Data'!$O$5:$O$226,2),'Cleaned Data'!$O$5:$O$226,0))</f>
        <v>Amara Johnson</v>
      </c>
      <c r="J33" s="14" t="n">
        <f aca="false">INDEX('Cleaned Data'!$G$5:$G$226,MATCH(LARGE('Cleaned Data'!$O$5:$O$226,2),'Cleaned Data'!$O$5:$O$226,0))</f>
        <v>1407192000</v>
      </c>
      <c r="K33" s="11"/>
      <c r="L33" s="11"/>
      <c r="M33" s="11"/>
      <c r="N33" s="11"/>
      <c r="O33" s="17" t="s">
        <v>77</v>
      </c>
      <c r="P33" s="18" t="n">
        <f aca="false">SUMIFS('Cleaned Data'!$G$5:$G$226,'Cleaned Data'!$D$5:$D$226,O33)</f>
        <v>659051000</v>
      </c>
      <c r="Q33" s="17" t="n">
        <f aca="false">COUNTIFS('Cleaned Data'!$D$5:$D$226,O33)</f>
        <v>5</v>
      </c>
      <c r="R33" s="18" t="n">
        <f aca="false">P33+ROW()/10000000</f>
        <v>659051000.000003</v>
      </c>
      <c r="S33" s="11"/>
    </row>
    <row r="34" customFormat="false" ht="15" hidden="false" customHeight="false" outlineLevel="0" collapsed="false">
      <c r="A34" s="13" t="n">
        <v>3</v>
      </c>
      <c r="B34" s="19" t="str">
        <f aca="false">INDEX($O$3:$O$33,MATCH(LARGE($R$3:$R$33,3),$R$3:$R$33,0))</f>
        <v>Olivia Bennett</v>
      </c>
      <c r="C34" s="14" t="n">
        <f aca="false">INDEX($P$3:$P$33,MATCH(LARGE($R$3:$R$33,3),$R$3:$R$33,0))</f>
        <v>2547597000</v>
      </c>
      <c r="D34" s="13" t="n">
        <f aca="false">INDEX($Q$3:$Q$33,MATCH(LARGE($R$3:$R$33,3),$R$3:$R$33,0))</f>
        <v>14</v>
      </c>
      <c r="E34" s="11"/>
      <c r="F34" s="13" t="n">
        <v>3</v>
      </c>
      <c r="G34" s="19" t="str">
        <f aca="false">INDEX('Cleaned Data'!$B$5:$B$226,MATCH(LARGE('Cleaned Data'!$O$5:$O$226,3),'Cleaned Data'!$O$5:$O$226,0))</f>
        <v>Sacred Reckoning</v>
      </c>
      <c r="H34" s="13" t="str">
        <f aca="false">INDEX('Cleaned Data'!$C$5:$C$226,MATCH(LARGE('Cleaned Data'!$O$5:$O$226,3),'Cleaned Data'!$O$5:$O$226,0))</f>
        <v>Action</v>
      </c>
      <c r="I34" s="13" t="str">
        <f aca="false">INDEX('Cleaned Data'!$D$5:$D$226,MATCH(LARGE('Cleaned Data'!$O$5:$O$226,3),'Cleaned Data'!$O$5:$O$226,0))</f>
        <v>Olivia Bennett</v>
      </c>
      <c r="J34" s="14" t="n">
        <f aca="false">INDEX('Cleaned Data'!$G$5:$G$226,MATCH(LARGE('Cleaned Data'!$O$5:$O$226,3),'Cleaned Data'!$O$5:$O$226,0))</f>
        <v>1271415000</v>
      </c>
      <c r="K34" s="11"/>
      <c r="L34" s="11"/>
      <c r="M34" s="11"/>
      <c r="N34" s="11"/>
      <c r="O34" s="11"/>
      <c r="P34" s="11"/>
      <c r="Q34" s="11"/>
      <c r="R34" s="11"/>
      <c r="S34" s="11"/>
    </row>
    <row r="35" customFormat="false" ht="15" hidden="false" customHeight="false" outlineLevel="0" collapsed="false">
      <c r="A35" s="13" t="n">
        <v>4</v>
      </c>
      <c r="B35" s="19" t="str">
        <f aca="false">INDEX($O$3:$O$33,MATCH(LARGE($R$3:$R$33,4),$R$3:$R$33,0))</f>
        <v>Amara Johnson</v>
      </c>
      <c r="C35" s="14" t="n">
        <f aca="false">INDEX($P$3:$P$33,MATCH(LARGE($R$3:$R$33,4),$R$3:$R$33,0))</f>
        <v>2062082000</v>
      </c>
      <c r="D35" s="13" t="n">
        <f aca="false">INDEX($Q$3:$Q$33,MATCH(LARGE($R$3:$R$33,4),$R$3:$R$33,0))</f>
        <v>7</v>
      </c>
      <c r="E35" s="11"/>
      <c r="F35" s="13" t="n">
        <v>4</v>
      </c>
      <c r="G35" s="19" t="str">
        <f aca="false">INDEX('Cleaned Data'!$B$5:$B$226,MATCH(LARGE('Cleaned Data'!$O$5:$O$226,4),'Cleaned Data'!$O$5:$O$226,0))</f>
        <v>Silent Reckoning</v>
      </c>
      <c r="H35" s="13" t="str">
        <f aca="false">INDEX('Cleaned Data'!$C$5:$C$226,MATCH(LARGE('Cleaned Data'!$O$5:$O$226,4),'Cleaned Data'!$O$5:$O$226,0))</f>
        <v>Fantasy</v>
      </c>
      <c r="I35" s="13" t="str">
        <f aca="false">INDEX('Cleaned Data'!$D$5:$D$226,MATCH(LARGE('Cleaned Data'!$O$5:$O$226,4),'Cleaned Data'!$O$5:$O$226,0))</f>
        <v>Grace Kim</v>
      </c>
      <c r="J35" s="14" t="n">
        <f aca="false">INDEX('Cleaned Data'!$G$5:$G$226,MATCH(LARGE('Cleaned Data'!$O$5:$O$226,4),'Cleaned Data'!$O$5:$O$226,0))</f>
        <v>1205730000</v>
      </c>
      <c r="K35" s="11"/>
      <c r="L35" s="11"/>
      <c r="M35" s="11"/>
      <c r="N35" s="11"/>
      <c r="O35" s="11"/>
      <c r="P35" s="11"/>
      <c r="Q35" s="11"/>
      <c r="R35" s="11"/>
      <c r="S35" s="11"/>
    </row>
    <row r="36" customFormat="false" ht="15" hidden="false" customHeight="false" outlineLevel="0" collapsed="false">
      <c r="A36" s="13" t="n">
        <v>5</v>
      </c>
      <c r="B36" s="19" t="str">
        <f aca="false">INDEX($O$3:$O$33,MATCH(LARGE($R$3:$R$33,5),$R$3:$R$33,0))</f>
        <v>Clara Dubois</v>
      </c>
      <c r="C36" s="14" t="n">
        <f aca="false">INDEX($P$3:$P$33,MATCH(LARGE($R$3:$R$33,5),$R$3:$R$33,0))</f>
        <v>1941688000</v>
      </c>
      <c r="D36" s="13" t="n">
        <f aca="false">INDEX($Q$3:$Q$33,MATCH(LARGE($R$3:$R$33,5),$R$3:$R$33,0))</f>
        <v>12</v>
      </c>
      <c r="E36" s="11"/>
      <c r="F36" s="13" t="n">
        <v>5</v>
      </c>
      <c r="G36" s="19" t="str">
        <f aca="false">INDEX('Cleaned Data'!$B$5:$B$226,MATCH(LARGE('Cleaned Data'!$O$5:$O$226,5),'Cleaned Data'!$O$5:$O$226,0))</f>
        <v>Burning Paradox</v>
      </c>
      <c r="H36" s="13" t="str">
        <f aca="false">INDEX('Cleaned Data'!$C$5:$C$226,MATCH(LARGE('Cleaned Data'!$O$5:$O$226,5),'Cleaned Data'!$O$5:$O$226,0))</f>
        <v>Action</v>
      </c>
      <c r="I36" s="13" t="str">
        <f aca="false">INDEX('Cleaned Data'!$D$5:$D$226,MATCH(LARGE('Cleaned Data'!$O$5:$O$226,5),'Cleaned Data'!$O$5:$O$226,0))</f>
        <v>Elena Voss</v>
      </c>
      <c r="J36" s="14" t="n">
        <f aca="false">INDEX('Cleaned Data'!$G$5:$G$226,MATCH(LARGE('Cleaned Data'!$O$5:$O$226,5),'Cleaned Data'!$O$5:$O$226,0))</f>
        <v>959689000</v>
      </c>
      <c r="K36" s="11"/>
      <c r="L36" s="11"/>
      <c r="M36" s="11"/>
      <c r="N36" s="11"/>
      <c r="O36" s="11"/>
      <c r="P36" s="11"/>
      <c r="Q36" s="11"/>
      <c r="R36" s="11"/>
      <c r="S36" s="11"/>
    </row>
    <row r="37" customFormat="false" ht="15" hidden="false" customHeight="false" outlineLevel="0" collapsed="false">
      <c r="A37" s="13" t="n">
        <v>6</v>
      </c>
      <c r="B37" s="19" t="str">
        <f aca="false">INDEX($O$3:$O$33,MATCH(LARGE($R$3:$R$33,6),$R$3:$R$33,0))</f>
        <v>Tom Ashworth</v>
      </c>
      <c r="C37" s="14" t="n">
        <f aca="false">INDEX($P$3:$P$33,MATCH(LARGE($R$3:$R$33,6),$R$3:$R$33,0))</f>
        <v>1839293000</v>
      </c>
      <c r="D37" s="13" t="n">
        <f aca="false">INDEX($Q$3:$Q$33,MATCH(LARGE($R$3:$R$33,6),$R$3:$R$33,0))</f>
        <v>10</v>
      </c>
      <c r="E37" s="11"/>
      <c r="F37" s="13" t="n">
        <v>6</v>
      </c>
      <c r="G37" s="19" t="str">
        <f aca="false">INDEX('Cleaned Data'!$B$5:$B$226,MATCH(LARGE('Cleaned Data'!$O$5:$O$226,6),'Cleaned Data'!$O$5:$O$226,0))</f>
        <v>Distant Legacy</v>
      </c>
      <c r="H37" s="13" t="str">
        <f aca="false">INDEX('Cleaned Data'!$C$5:$C$226,MATCH(LARGE('Cleaned Data'!$O$5:$O$226,6),'Cleaned Data'!$O$5:$O$226,0))</f>
        <v>Animation</v>
      </c>
      <c r="I37" s="13" t="str">
        <f aca="false">INDEX('Cleaned Data'!$D$5:$D$226,MATCH(LARGE('Cleaned Data'!$O$5:$O$226,6),'Cleaned Data'!$O$5:$O$226,0))</f>
        <v>Marcus Reyes</v>
      </c>
      <c r="J37" s="14" t="n">
        <f aca="false">INDEX('Cleaned Data'!$G$5:$G$226,MATCH(LARGE('Cleaned Data'!$O$5:$O$226,6),'Cleaned Data'!$O$5:$O$226,0))</f>
        <v>938683000</v>
      </c>
      <c r="K37" s="11"/>
      <c r="L37" s="11"/>
      <c r="M37" s="11"/>
      <c r="N37" s="11"/>
      <c r="O37" s="11"/>
      <c r="P37" s="11"/>
      <c r="Q37" s="11"/>
      <c r="R37" s="11"/>
      <c r="S37" s="11"/>
    </row>
    <row r="38" customFormat="false" ht="15" hidden="false" customHeight="false" outlineLevel="0" collapsed="false">
      <c r="A38" s="13" t="n">
        <v>7</v>
      </c>
      <c r="B38" s="19" t="str">
        <f aca="false">INDEX($O$3:$O$33,MATCH(LARGE($R$3:$R$33,7),$R$3:$R$33,0))</f>
        <v>Marcus Reyes</v>
      </c>
      <c r="C38" s="14" t="n">
        <f aca="false">INDEX($P$3:$P$33,MATCH(LARGE($R$3:$R$33,7),$R$3:$R$33,0))</f>
        <v>1590974000</v>
      </c>
      <c r="D38" s="13" t="n">
        <f aca="false">INDEX($Q$3:$Q$33,MATCH(LARGE($R$3:$R$33,7),$R$3:$R$33,0))</f>
        <v>7</v>
      </c>
      <c r="E38" s="11"/>
      <c r="F38" s="13" t="n">
        <v>7</v>
      </c>
      <c r="G38" s="19" t="str">
        <f aca="false">INDEX('Cleaned Data'!$B$5:$B$226,MATCH(LARGE('Cleaned Data'!$O$5:$O$226,7),'Cleaned Data'!$O$5:$O$226,0))</f>
        <v>Shadow Legacy</v>
      </c>
      <c r="H38" s="13" t="str">
        <f aca="false">INDEX('Cleaned Data'!$C$5:$C$226,MATCH(LARGE('Cleaned Data'!$O$5:$O$226,7),'Cleaned Data'!$O$5:$O$226,0))</f>
        <v>Fantasy</v>
      </c>
      <c r="I38" s="13" t="str">
        <f aca="false">INDEX('Cleaned Data'!$D$5:$D$226,MATCH(LARGE('Cleaned Data'!$O$5:$O$226,7),'Cleaned Data'!$O$5:$O$226,0))</f>
        <v>Tom Ashworth</v>
      </c>
      <c r="J38" s="14" t="n">
        <f aca="false">INDEX('Cleaned Data'!$G$5:$G$226,MATCH(LARGE('Cleaned Data'!$O$5:$O$226,7),'Cleaned Data'!$O$5:$O$226,0))</f>
        <v>800043000</v>
      </c>
      <c r="K38" s="11"/>
      <c r="L38" s="11"/>
      <c r="M38" s="11"/>
      <c r="N38" s="11"/>
      <c r="O38" s="11"/>
      <c r="P38" s="11"/>
      <c r="Q38" s="11"/>
      <c r="R38" s="11"/>
      <c r="S38" s="11"/>
    </row>
    <row r="39" customFormat="false" ht="15" hidden="false" customHeight="false" outlineLevel="0" collapsed="false">
      <c r="A39" s="13" t="n">
        <v>8</v>
      </c>
      <c r="B39" s="19" t="str">
        <f aca="false">INDEX($O$3:$O$33,MATCH(LARGE($R$3:$R$33,8),$R$3:$R$33,0))</f>
        <v>Ingrid Solberg</v>
      </c>
      <c r="C39" s="14" t="n">
        <f aca="false">INDEX($P$3:$P$33,MATCH(LARGE($R$3:$R$33,8),$R$3:$R$33,0))</f>
        <v>1563723000</v>
      </c>
      <c r="D39" s="13" t="n">
        <f aca="false">INDEX($Q$3:$Q$33,MATCH(LARGE($R$3:$R$33,8),$R$3:$R$33,0))</f>
        <v>12</v>
      </c>
      <c r="E39" s="11"/>
      <c r="F39" s="13" t="n">
        <v>8</v>
      </c>
      <c r="G39" s="19" t="str">
        <f aca="false">INDEX('Cleaned Data'!$B$5:$B$226,MATCH(LARGE('Cleaned Data'!$O$5:$O$226,8),'Cleaned Data'!$O$5:$O$226,0))</f>
        <v>Eternal Echoes Rising</v>
      </c>
      <c r="H39" s="13" t="str">
        <f aca="false">INDEX('Cleaned Data'!$C$5:$C$226,MATCH(LARGE('Cleaned Data'!$O$5:$O$226,8),'Cleaned Data'!$O$5:$O$226,0))</f>
        <v>Adventure</v>
      </c>
      <c r="I39" s="13" t="str">
        <f aca="false">INDEX('Cleaned Data'!$D$5:$D$226,MATCH(LARGE('Cleaned Data'!$O$5:$O$226,8),'Cleaned Data'!$O$5:$O$226,0))</f>
        <v>Ingrid Solberg</v>
      </c>
      <c r="J39" s="14" t="n">
        <f aca="false">INDEX('Cleaned Data'!$G$5:$G$226,MATCH(LARGE('Cleaned Data'!$O$5:$O$226,8),'Cleaned Data'!$O$5:$O$226,0))</f>
        <v>685629000</v>
      </c>
      <c r="K39" s="11"/>
      <c r="L39" s="11"/>
      <c r="M39" s="11"/>
      <c r="N39" s="11"/>
      <c r="O39" s="11"/>
      <c r="P39" s="11"/>
      <c r="Q39" s="11"/>
      <c r="R39" s="11"/>
      <c r="S39" s="11"/>
    </row>
    <row r="40" customFormat="false" ht="15" hidden="false" customHeight="false" outlineLevel="0" collapsed="false">
      <c r="A40" s="13" t="n">
        <v>9</v>
      </c>
      <c r="B40" s="19" t="str">
        <f aca="false">INDEX($O$3:$O$33,MATCH(LARGE($R$3:$R$33,9),$R$3:$R$33,0))</f>
        <v>James Whitfield</v>
      </c>
      <c r="C40" s="14" t="n">
        <f aca="false">INDEX($P$3:$P$33,MATCH(LARGE($R$3:$R$33,9),$R$3:$R$33,0))</f>
        <v>1514682000</v>
      </c>
      <c r="D40" s="13" t="n">
        <f aca="false">INDEX($Q$3:$Q$33,MATCH(LARGE($R$3:$R$33,9),$R$3:$R$33,0))</f>
        <v>11</v>
      </c>
      <c r="E40" s="11"/>
      <c r="F40" s="13" t="n">
        <v>9</v>
      </c>
      <c r="G40" s="19" t="str">
        <f aca="false">INDEX('Cleaned Data'!$B$5:$B$226,MATCH(LARGE('Cleaned Data'!$O$5:$O$226,9),'Cleaned Data'!$O$5:$O$226,0))</f>
        <v>Midnight Echoes</v>
      </c>
      <c r="H40" s="13" t="str">
        <f aca="false">INDEX('Cleaned Data'!$C$5:$C$226,MATCH(LARGE('Cleaned Data'!$O$5:$O$226,9),'Cleaned Data'!$O$5:$O$226,0))</f>
        <v>Horror</v>
      </c>
      <c r="I40" s="13" t="str">
        <f aca="false">INDEX('Cleaned Data'!$D$5:$D$226,MATCH(LARGE('Cleaned Data'!$O$5:$O$226,9),'Cleaned Data'!$O$5:$O$226,0))</f>
        <v>Grace Kim</v>
      </c>
      <c r="J40" s="14" t="n">
        <f aca="false">INDEX('Cleaned Data'!$G$5:$G$226,MATCH(LARGE('Cleaned Data'!$O$5:$O$226,9),'Cleaned Data'!$O$5:$O$226,0))</f>
        <v>660031000</v>
      </c>
      <c r="K40" s="11"/>
      <c r="L40" s="11"/>
      <c r="M40" s="11"/>
      <c r="N40" s="11"/>
      <c r="O40" s="11"/>
      <c r="P40" s="11"/>
      <c r="Q40" s="11"/>
      <c r="R40" s="11"/>
      <c r="S40" s="11"/>
    </row>
    <row r="41" customFormat="false" ht="15" hidden="false" customHeight="false" outlineLevel="0" collapsed="false">
      <c r="A41" s="13" t="n">
        <v>10</v>
      </c>
      <c r="B41" s="19" t="str">
        <f aca="false">INDEX($O$3:$O$33,MATCH(LARGE($R$3:$R$33,10),$R$3:$R$33,0))</f>
        <v>Karim Haddad</v>
      </c>
      <c r="C41" s="14" t="n">
        <f aca="false">INDEX($P$3:$P$33,MATCH(LARGE($R$3:$R$33,10),$R$3:$R$33,0))</f>
        <v>1459923000</v>
      </c>
      <c r="D41" s="13" t="n">
        <f aca="false">INDEX($Q$3:$Q$33,MATCH(LARGE($R$3:$R$33,10),$R$3:$R$33,0))</f>
        <v>8</v>
      </c>
      <c r="E41" s="11"/>
      <c r="F41" s="13" t="n">
        <v>10</v>
      </c>
      <c r="G41" s="19" t="str">
        <f aca="false">INDEX('Cleaned Data'!$B$5:$B$226,MATCH(LARGE('Cleaned Data'!$O$5:$O$226,10),'Cleaned Data'!$O$5:$O$226,0))</f>
        <v>Sacred Kingdom</v>
      </c>
      <c r="H41" s="13" t="str">
        <f aca="false">INDEX('Cleaned Data'!$C$5:$C$226,MATCH(LARGE('Cleaned Data'!$O$5:$O$226,10),'Cleaned Data'!$O$5:$O$226,0))</f>
        <v>Animation</v>
      </c>
      <c r="I41" s="13" t="str">
        <f aca="false">INDEX('Cleaned Data'!$D$5:$D$226,MATCH(LARGE('Cleaned Data'!$O$5:$O$226,10),'Cleaned Data'!$O$5:$O$226,0))</f>
        <v>Karim Haddad</v>
      </c>
      <c r="J41" s="14" t="n">
        <f aca="false">INDEX('Cleaned Data'!$G$5:$G$226,MATCH(LARGE('Cleaned Data'!$O$5:$O$226,10),'Cleaned Data'!$O$5:$O$226,0))</f>
        <v>610881000</v>
      </c>
      <c r="K41" s="11"/>
      <c r="L41" s="11"/>
      <c r="M41" s="11"/>
      <c r="N41" s="11"/>
      <c r="O41" s="11"/>
      <c r="P41" s="11"/>
      <c r="Q41" s="11"/>
      <c r="R41" s="11"/>
      <c r="S41" s="11"/>
    </row>
    <row r="42" customFormat="false" ht="15" hidden="false" customHeight="false" outlineLevel="0" collapsed="false">
      <c r="A42" s="11"/>
      <c r="B42" s="11"/>
      <c r="C42" s="11"/>
      <c r="D42" s="11"/>
      <c r="E42" s="11"/>
      <c r="F42" s="11"/>
      <c r="G42" s="11"/>
      <c r="H42" s="11"/>
      <c r="I42" s="11"/>
      <c r="J42" s="11"/>
      <c r="K42" s="11"/>
      <c r="L42" s="11"/>
      <c r="M42" s="11"/>
      <c r="N42" s="11"/>
      <c r="O42" s="11"/>
      <c r="P42" s="11"/>
      <c r="Q42" s="11"/>
      <c r="R42" s="11"/>
      <c r="S42" s="11"/>
    </row>
    <row r="43" customFormat="false" ht="15" hidden="false" customHeight="false" outlineLevel="0" collapsed="false">
      <c r="A43" s="11"/>
      <c r="B43" s="11"/>
      <c r="C43" s="11"/>
      <c r="D43" s="11"/>
      <c r="E43" s="11"/>
      <c r="F43" s="11"/>
      <c r="G43" s="11"/>
      <c r="H43" s="11"/>
      <c r="I43" s="11"/>
      <c r="J43" s="11"/>
      <c r="K43" s="11"/>
      <c r="L43" s="11"/>
      <c r="M43" s="11"/>
      <c r="N43" s="11"/>
      <c r="O43" s="11"/>
      <c r="P43" s="11"/>
      <c r="Q43" s="11"/>
      <c r="R43" s="11"/>
      <c r="S43" s="11"/>
    </row>
    <row r="44" customFormat="false" ht="15" hidden="false" customHeight="false" outlineLevel="0" collapsed="false">
      <c r="A44" s="11"/>
      <c r="B44" s="11"/>
      <c r="C44" s="11"/>
      <c r="D44" s="11"/>
      <c r="E44" s="11"/>
      <c r="F44" s="11"/>
      <c r="G44" s="11"/>
      <c r="H44" s="11"/>
      <c r="I44" s="11"/>
      <c r="J44" s="11"/>
      <c r="K44" s="11"/>
      <c r="L44" s="11"/>
      <c r="M44" s="11"/>
      <c r="N44" s="11"/>
      <c r="O44" s="11"/>
      <c r="P44" s="11"/>
      <c r="Q44" s="11"/>
      <c r="R44" s="11"/>
      <c r="S44" s="11"/>
    </row>
    <row r="45" customFormat="false" ht="16.15" hidden="false" customHeight="false" outlineLevel="0" collapsed="false">
      <c r="A45" s="10" t="s">
        <v>78</v>
      </c>
      <c r="B45" s="10"/>
      <c r="C45" s="10"/>
      <c r="D45" s="10"/>
      <c r="E45" s="10"/>
      <c r="F45" s="11"/>
      <c r="G45" s="11"/>
      <c r="H45" s="11"/>
      <c r="I45" s="11"/>
      <c r="J45" s="11"/>
      <c r="K45" s="11"/>
      <c r="L45" s="11"/>
      <c r="M45" s="11"/>
      <c r="N45" s="11"/>
      <c r="O45" s="11"/>
      <c r="P45" s="11"/>
      <c r="Q45" s="11"/>
      <c r="R45" s="11"/>
      <c r="S45" s="11"/>
    </row>
    <row r="46" customFormat="false" ht="15" hidden="false" customHeight="false" outlineLevel="0" collapsed="false">
      <c r="A46" s="12" t="s">
        <v>79</v>
      </c>
      <c r="B46" s="12" t="s">
        <v>13</v>
      </c>
      <c r="C46" s="12" t="s">
        <v>80</v>
      </c>
      <c r="D46" s="12" t="s">
        <v>81</v>
      </c>
      <c r="E46" s="12" t="s">
        <v>82</v>
      </c>
      <c r="F46" s="11"/>
      <c r="G46" s="11"/>
      <c r="H46" s="11"/>
      <c r="I46" s="11"/>
      <c r="J46" s="11"/>
      <c r="K46" s="11"/>
      <c r="L46" s="11"/>
      <c r="M46" s="11"/>
      <c r="N46" s="11"/>
      <c r="O46" s="11"/>
      <c r="P46" s="11"/>
      <c r="Q46" s="11"/>
      <c r="R46" s="11"/>
      <c r="S46" s="11"/>
    </row>
    <row r="47" customFormat="false" ht="15" hidden="false" customHeight="false" outlineLevel="0" collapsed="false">
      <c r="A47" s="13" t="s">
        <v>83</v>
      </c>
      <c r="B47" s="13" t="n">
        <f aca="false">COUNTIFS('Cleaned Data'!$H$5:$H$226,"&gt;=2",'Cleaned Data'!$H$5:$H$226,"&lt;3")</f>
        <v>1</v>
      </c>
      <c r="C47" s="14" t="n">
        <f aca="false">IFERROR(AVERAGEIFS('Cleaned Data'!$F$5:$F$226,'Cleaned Data'!$H$5:$H$226,"&gt;=2",'Cleaned Data'!$H$5:$H$226,"&lt;3"),0)</f>
        <v>22023000</v>
      </c>
      <c r="D47" s="14" t="n">
        <f aca="false">IFERROR(AVERAGEIFS('Cleaned Data'!$G$5:$G$226,'Cleaned Data'!$H$5:$H$226,"&gt;=2",'Cleaned Data'!$H$5:$H$226,"&lt;3"),0)</f>
        <v>115915500</v>
      </c>
      <c r="E47" s="20" t="n">
        <f aca="false">IFERROR(AVERAGEIFS('Cleaned Data'!$N$5:$N$226,'Cleaned Data'!$H$5:$H$226,"&gt;=2",'Cleaned Data'!$H$5:$H$226,"&lt;3"),0)</f>
        <v>426.3</v>
      </c>
      <c r="F47" s="11"/>
      <c r="G47" s="11"/>
      <c r="H47" s="11"/>
      <c r="I47" s="11"/>
      <c r="J47" s="11"/>
      <c r="K47" s="11"/>
      <c r="L47" s="11"/>
      <c r="M47" s="11"/>
      <c r="N47" s="11"/>
      <c r="O47" s="11"/>
      <c r="P47" s="11"/>
      <c r="Q47" s="11"/>
      <c r="R47" s="11"/>
      <c r="S47" s="11"/>
    </row>
    <row r="48" customFormat="false" ht="15" hidden="false" customHeight="false" outlineLevel="0" collapsed="false">
      <c r="A48" s="13" t="s">
        <v>84</v>
      </c>
      <c r="B48" s="13" t="n">
        <f aca="false">COUNTIFS('Cleaned Data'!$H$5:$H$226,"&gt;=3",'Cleaned Data'!$H$5:$H$226,"&lt;4")</f>
        <v>1</v>
      </c>
      <c r="C48" s="14" t="n">
        <f aca="false">IFERROR(AVERAGEIFS('Cleaned Data'!$F$5:$F$226,'Cleaned Data'!$H$5:$H$226,"&gt;=3",'Cleaned Data'!$H$5:$H$226,"&lt;4"),0)</f>
        <v>31560000</v>
      </c>
      <c r="D48" s="14" t="n">
        <f aca="false">IFERROR(AVERAGEIFS('Cleaned Data'!$G$5:$G$226,'Cleaned Data'!$H$5:$H$226,"&gt;=3",'Cleaned Data'!$H$5:$H$226,"&lt;4"),0)</f>
        <v>64134000</v>
      </c>
      <c r="E48" s="20" t="n">
        <f aca="false">IFERROR(AVERAGEIFS('Cleaned Data'!$N$5:$N$226,'Cleaned Data'!$H$5:$H$226,"&gt;=3",'Cleaned Data'!$H$5:$H$226,"&lt;4"),0)</f>
        <v>103.2</v>
      </c>
      <c r="F48" s="11"/>
      <c r="G48" s="11"/>
      <c r="H48" s="11"/>
      <c r="I48" s="11"/>
      <c r="J48" s="11"/>
      <c r="K48" s="11"/>
      <c r="L48" s="11"/>
      <c r="M48" s="11"/>
      <c r="N48" s="11"/>
      <c r="O48" s="11"/>
      <c r="P48" s="11"/>
      <c r="Q48" s="11"/>
      <c r="R48" s="11"/>
      <c r="S48" s="11"/>
    </row>
    <row r="49" customFormat="false" ht="15" hidden="false" customHeight="false" outlineLevel="0" collapsed="false">
      <c r="A49" s="13" t="s">
        <v>85</v>
      </c>
      <c r="B49" s="13" t="n">
        <f aca="false">COUNTIFS('Cleaned Data'!$H$5:$H$226,"&gt;=4",'Cleaned Data'!$H$5:$H$226,"&lt;5")</f>
        <v>12</v>
      </c>
      <c r="C49" s="14" t="n">
        <f aca="false">IFERROR(AVERAGEIFS('Cleaned Data'!$F$5:$F$226,'Cleaned Data'!$H$5:$H$226,"&gt;=4",'Cleaned Data'!$H$5:$H$226,"&lt;5"),0)</f>
        <v>52926000</v>
      </c>
      <c r="D49" s="14" t="n">
        <f aca="false">IFERROR(AVERAGEIFS('Cleaned Data'!$G$5:$G$226,'Cleaned Data'!$H$5:$H$226,"&gt;=4",'Cleaned Data'!$H$5:$H$226,"&lt;5"),0)</f>
        <v>99634250</v>
      </c>
      <c r="E49" s="20" t="n">
        <f aca="false">IFERROR(AVERAGEIFS('Cleaned Data'!$N$5:$N$226,'Cleaned Data'!$H$5:$H$226,"&gt;=4",'Cleaned Data'!$H$5:$H$226,"&lt;5"),0)</f>
        <v>170.625</v>
      </c>
      <c r="F49" s="11"/>
      <c r="G49" s="11"/>
      <c r="H49" s="11"/>
      <c r="I49" s="11"/>
      <c r="J49" s="11"/>
      <c r="K49" s="11"/>
      <c r="L49" s="11"/>
      <c r="M49" s="11"/>
      <c r="N49" s="11"/>
      <c r="O49" s="11"/>
      <c r="P49" s="11"/>
      <c r="Q49" s="11"/>
      <c r="R49" s="11"/>
      <c r="S49" s="11"/>
    </row>
    <row r="50" customFormat="false" ht="15" hidden="false" customHeight="false" outlineLevel="0" collapsed="false">
      <c r="A50" s="13" t="s">
        <v>86</v>
      </c>
      <c r="B50" s="13" t="n">
        <f aca="false">COUNTIFS('Cleaned Data'!$H$5:$H$226,"&gt;=5",'Cleaned Data'!$H$5:$H$226,"&lt;6")</f>
        <v>49</v>
      </c>
      <c r="C50" s="14" t="n">
        <f aca="false">IFERROR(AVERAGEIFS('Cleaned Data'!$F$5:$F$226,'Cleaned Data'!$H$5:$H$226,"&gt;=5",'Cleaned Data'!$H$5:$H$226,"&lt;6"),0)</f>
        <v>45444051.0204082</v>
      </c>
      <c r="D50" s="14" t="n">
        <f aca="false">IFERROR(AVERAGEIFS('Cleaned Data'!$G$5:$G$226,'Cleaned Data'!$H$5:$H$226,"&gt;=5",'Cleaned Data'!$H$5:$H$226,"&lt;6"),0)</f>
        <v>146607479.591837</v>
      </c>
      <c r="E50" s="20" t="n">
        <f aca="false">IFERROR(AVERAGEIFS('Cleaned Data'!$N$5:$N$226,'Cleaned Data'!$H$5:$H$226,"&gt;=5",'Cleaned Data'!$H$5:$H$226,"&lt;6"),0)</f>
        <v>178.020408163265</v>
      </c>
      <c r="F50" s="11"/>
      <c r="G50" s="11"/>
      <c r="H50" s="11"/>
      <c r="I50" s="11"/>
      <c r="J50" s="11"/>
      <c r="K50" s="11"/>
      <c r="L50" s="11"/>
      <c r="M50" s="11"/>
      <c r="N50" s="11"/>
      <c r="O50" s="11"/>
      <c r="P50" s="11"/>
      <c r="Q50" s="11"/>
      <c r="R50" s="11"/>
      <c r="S50" s="11"/>
    </row>
    <row r="51" customFormat="false" ht="15" hidden="false" customHeight="false" outlineLevel="0" collapsed="false">
      <c r="A51" s="13" t="s">
        <v>87</v>
      </c>
      <c r="B51" s="13" t="n">
        <f aca="false">COUNTIFS('Cleaned Data'!$H$5:$H$226,"&gt;=6",'Cleaned Data'!$H$5:$H$226,"&lt;7")</f>
        <v>88</v>
      </c>
      <c r="C51" s="14" t="n">
        <f aca="false">IFERROR(AVERAGEIFS('Cleaned Data'!$F$5:$F$226,'Cleaned Data'!$H$5:$H$226,"&gt;=6",'Cleaned Data'!$H$5:$H$226,"&lt;7"),0)</f>
        <v>52604556.8181818</v>
      </c>
      <c r="D51" s="14" t="n">
        <f aca="false">IFERROR(AVERAGEIFS('Cleaned Data'!$G$5:$G$226,'Cleaned Data'!$H$5:$H$226,"&gt;=6",'Cleaned Data'!$H$5:$H$226,"&lt;7"),0)</f>
        <v>174889261.363636</v>
      </c>
      <c r="E51" s="20" t="n">
        <f aca="false">IFERROR(AVERAGEIFS('Cleaned Data'!$N$5:$N$226,'Cleaned Data'!$H$5:$H$226,"&gt;=6",'Cleaned Data'!$H$5:$H$226,"&lt;7"),0)</f>
        <v>204.707954545455</v>
      </c>
      <c r="F51" s="11"/>
      <c r="G51" s="11"/>
      <c r="H51" s="11"/>
      <c r="I51" s="11"/>
      <c r="J51" s="11"/>
      <c r="K51" s="11"/>
      <c r="L51" s="11"/>
      <c r="M51" s="11"/>
      <c r="N51" s="11"/>
      <c r="O51" s="11"/>
      <c r="P51" s="11"/>
      <c r="Q51" s="11"/>
      <c r="R51" s="11"/>
      <c r="S51" s="11"/>
    </row>
    <row r="52" customFormat="false" ht="15" hidden="false" customHeight="false" outlineLevel="0" collapsed="false">
      <c r="A52" s="13" t="s">
        <v>88</v>
      </c>
      <c r="B52" s="13" t="n">
        <f aca="false">COUNTIFS('Cleaned Data'!$H$5:$H$226,"&gt;=7",'Cleaned Data'!$H$5:$H$226,"&lt;8")</f>
        <v>47</v>
      </c>
      <c r="C52" s="14" t="n">
        <f aca="false">IFERROR(AVERAGEIFS('Cleaned Data'!$F$5:$F$226,'Cleaned Data'!$H$5:$H$226,"&gt;=7",'Cleaned Data'!$H$5:$H$226,"&lt;8"),0)</f>
        <v>60788638.2978723</v>
      </c>
      <c r="D52" s="14" t="n">
        <f aca="false">IFERROR(AVERAGEIFS('Cleaned Data'!$G$5:$G$226,'Cleaned Data'!$H$5:$H$226,"&gt;=7",'Cleaned Data'!$H$5:$H$226,"&lt;8"),0)</f>
        <v>164002191.489362</v>
      </c>
      <c r="E52" s="20" t="n">
        <f aca="false">IFERROR(AVERAGEIFS('Cleaned Data'!$N$5:$N$226,'Cleaned Data'!$H$5:$H$226,"&gt;=7",'Cleaned Data'!$H$5:$H$226,"&lt;8"),0)</f>
        <v>258.014893617021</v>
      </c>
      <c r="F52" s="11"/>
      <c r="G52" s="11"/>
      <c r="H52" s="11"/>
      <c r="I52" s="11"/>
      <c r="J52" s="11"/>
      <c r="K52" s="11"/>
      <c r="L52" s="11"/>
      <c r="M52" s="11"/>
      <c r="N52" s="11"/>
      <c r="O52" s="11"/>
      <c r="P52" s="11"/>
      <c r="Q52" s="11"/>
      <c r="R52" s="11"/>
      <c r="S52" s="11"/>
    </row>
    <row r="53" customFormat="false" ht="15" hidden="false" customHeight="false" outlineLevel="0" collapsed="false">
      <c r="A53" s="13" t="s">
        <v>89</v>
      </c>
      <c r="B53" s="13" t="n">
        <f aca="false">COUNTIFS('Cleaned Data'!$H$5:$H$226,"&gt;=8",'Cleaned Data'!$H$5:$H$226,"&lt;9")</f>
        <v>19</v>
      </c>
      <c r="C53" s="14" t="n">
        <f aca="false">IFERROR(AVERAGEIFS('Cleaned Data'!$F$5:$F$226,'Cleaned Data'!$H$5:$H$226,"&gt;=8",'Cleaned Data'!$H$5:$H$226,"&lt;9"),0)</f>
        <v>49064763.1578947</v>
      </c>
      <c r="D53" s="14" t="n">
        <f aca="false">IFERROR(AVERAGEIFS('Cleaned Data'!$G$5:$G$226,'Cleaned Data'!$H$5:$H$226,"&gt;=8",'Cleaned Data'!$H$5:$H$226,"&lt;9"),0)</f>
        <v>156242894.736842</v>
      </c>
      <c r="E53" s="20" t="n">
        <f aca="false">IFERROR(AVERAGEIFS('Cleaned Data'!$N$5:$N$226,'Cleaned Data'!$H$5:$H$226,"&gt;=8",'Cleaned Data'!$H$5:$H$226,"&lt;9"),0)</f>
        <v>234.263157894737</v>
      </c>
      <c r="F53" s="11"/>
      <c r="G53" s="11"/>
      <c r="H53" s="11"/>
      <c r="I53" s="11"/>
      <c r="J53" s="11"/>
      <c r="K53" s="11"/>
      <c r="L53" s="11"/>
      <c r="M53" s="11"/>
      <c r="N53" s="11"/>
      <c r="O53" s="11"/>
      <c r="P53" s="11"/>
      <c r="Q53" s="11"/>
      <c r="R53" s="11"/>
      <c r="S53" s="11"/>
    </row>
    <row r="54" customFormat="false" ht="15" hidden="false" customHeight="false" outlineLevel="0" collapsed="false">
      <c r="A54" s="13" t="s">
        <v>90</v>
      </c>
      <c r="B54" s="13" t="n">
        <f aca="false">COUNTIFS('Cleaned Data'!$H$5:$H$226,"&gt;=9",'Cleaned Data'!$H$5:$H$226,"&lt;=10")</f>
        <v>5</v>
      </c>
      <c r="C54" s="14" t="n">
        <f aca="false">IFERROR(AVERAGEIFS('Cleaned Data'!$F$5:$F$226,'Cleaned Data'!$H$5:$H$226,"&gt;=9",'Cleaned Data'!$H$5:$H$226,"&lt;=10"),0)</f>
        <v>65124000</v>
      </c>
      <c r="D54" s="14" t="n">
        <f aca="false">IFERROR(AVERAGEIFS('Cleaned Data'!$G$5:$G$226,'Cleaned Data'!$H$5:$H$226,"&gt;=9",'Cleaned Data'!$H$5:$H$226,"&lt;=10"),0)</f>
        <v>159816800</v>
      </c>
      <c r="E54" s="20" t="n">
        <f aca="false">IFERROR(AVERAGEIFS('Cleaned Data'!$N$5:$N$226,'Cleaned Data'!$H$5:$H$226,"&gt;=9",'Cleaned Data'!$H$5:$H$226,"&lt;=10"),0)</f>
        <v>191.72</v>
      </c>
      <c r="F54" s="11"/>
      <c r="G54" s="11"/>
      <c r="H54" s="11"/>
      <c r="I54" s="11"/>
      <c r="J54" s="11"/>
      <c r="K54" s="11"/>
      <c r="L54" s="11"/>
      <c r="M54" s="11"/>
      <c r="N54" s="11"/>
      <c r="O54" s="11"/>
      <c r="P54" s="11"/>
      <c r="Q54" s="11"/>
      <c r="R54" s="11"/>
      <c r="S54" s="11"/>
    </row>
    <row r="55" customFormat="false" ht="15" hidden="false" customHeight="false" outlineLevel="0" collapsed="false">
      <c r="A55" s="11"/>
      <c r="B55" s="11"/>
      <c r="C55" s="11"/>
      <c r="D55" s="11"/>
      <c r="E55" s="11"/>
      <c r="F55" s="11"/>
      <c r="G55" s="11"/>
      <c r="H55" s="11"/>
      <c r="I55" s="11"/>
      <c r="J55" s="11"/>
      <c r="K55" s="11"/>
      <c r="L55" s="11"/>
      <c r="M55" s="11"/>
      <c r="N55" s="11"/>
      <c r="O55" s="11"/>
      <c r="P55" s="11"/>
      <c r="Q55" s="11"/>
      <c r="R55" s="11"/>
      <c r="S55" s="11"/>
    </row>
    <row r="56" customFormat="false" ht="15" hidden="false" customHeight="false" outlineLevel="0" collapsed="false">
      <c r="A56" s="11"/>
      <c r="B56" s="11"/>
      <c r="C56" s="11"/>
      <c r="D56" s="11"/>
      <c r="E56" s="11"/>
      <c r="F56" s="11"/>
      <c r="G56" s="11"/>
      <c r="H56" s="11"/>
      <c r="I56" s="11"/>
      <c r="J56" s="11"/>
      <c r="K56" s="11"/>
      <c r="L56" s="11"/>
      <c r="M56" s="11"/>
      <c r="N56" s="11"/>
      <c r="O56" s="11"/>
      <c r="P56" s="11"/>
      <c r="Q56" s="11"/>
      <c r="R56" s="11"/>
      <c r="S56" s="11"/>
    </row>
    <row r="57" customFormat="false" ht="15" hidden="false" customHeight="false" outlineLevel="0" collapsed="false">
      <c r="A57" s="11"/>
      <c r="B57" s="11"/>
      <c r="C57" s="11"/>
      <c r="D57" s="11"/>
      <c r="E57" s="11"/>
      <c r="F57" s="11"/>
      <c r="G57" s="11"/>
      <c r="H57" s="11"/>
      <c r="I57" s="11"/>
      <c r="J57" s="11"/>
      <c r="K57" s="11"/>
      <c r="L57" s="11"/>
      <c r="M57" s="11"/>
      <c r="N57" s="11"/>
      <c r="O57" s="11"/>
      <c r="P57" s="11"/>
      <c r="Q57" s="11"/>
      <c r="R57" s="11"/>
      <c r="S57" s="11"/>
    </row>
    <row r="58" customFormat="false" ht="15" hidden="false" customHeight="false" outlineLevel="0" collapsed="false">
      <c r="A58" s="11"/>
      <c r="B58" s="11"/>
      <c r="C58" s="11"/>
      <c r="D58" s="11"/>
      <c r="E58" s="11"/>
      <c r="F58" s="11"/>
      <c r="G58" s="11"/>
      <c r="H58" s="11"/>
      <c r="I58" s="11"/>
      <c r="J58" s="11"/>
      <c r="K58" s="11"/>
      <c r="L58" s="11"/>
      <c r="M58" s="11"/>
      <c r="N58" s="11"/>
      <c r="O58" s="11"/>
      <c r="P58" s="11"/>
      <c r="Q58" s="11"/>
      <c r="R58" s="11"/>
      <c r="S58" s="11"/>
    </row>
    <row r="59" customFormat="false" ht="15" hidden="false" customHeight="false" outlineLevel="0" collapsed="false">
      <c r="A59" s="11"/>
      <c r="B59" s="11"/>
      <c r="C59" s="11"/>
      <c r="D59" s="11"/>
      <c r="E59" s="11"/>
      <c r="F59" s="11"/>
      <c r="G59" s="11"/>
      <c r="H59" s="11"/>
      <c r="I59" s="11"/>
      <c r="J59" s="11"/>
      <c r="K59" s="11"/>
      <c r="L59" s="11"/>
      <c r="M59" s="11"/>
      <c r="N59" s="11"/>
      <c r="O59" s="11"/>
      <c r="P59" s="11"/>
      <c r="Q59" s="11"/>
      <c r="R59" s="11"/>
      <c r="S59" s="11"/>
    </row>
    <row r="60" customFormat="false" ht="15" hidden="false" customHeight="false" outlineLevel="0" collapsed="false">
      <c r="A60" s="11"/>
      <c r="B60" s="11"/>
      <c r="C60" s="11"/>
      <c r="D60" s="11"/>
      <c r="E60" s="11"/>
      <c r="F60" s="11"/>
      <c r="G60" s="11"/>
      <c r="H60" s="11"/>
      <c r="I60" s="11"/>
      <c r="J60" s="11"/>
      <c r="K60" s="11"/>
      <c r="L60" s="11"/>
      <c r="M60" s="11"/>
      <c r="N60" s="11"/>
      <c r="O60" s="11"/>
      <c r="P60" s="11"/>
      <c r="Q60" s="11"/>
      <c r="R60" s="11"/>
      <c r="S60" s="11"/>
    </row>
    <row r="61" customFormat="false" ht="15" hidden="false" customHeight="false" outlineLevel="0" collapsed="false">
      <c r="A61" s="11"/>
      <c r="B61" s="11"/>
      <c r="C61" s="11"/>
      <c r="D61" s="11"/>
      <c r="E61" s="11"/>
      <c r="F61" s="11"/>
      <c r="G61" s="11"/>
      <c r="H61" s="11"/>
      <c r="I61" s="11"/>
      <c r="J61" s="11"/>
      <c r="K61" s="11"/>
      <c r="L61" s="11"/>
      <c r="M61" s="11"/>
      <c r="N61" s="11"/>
      <c r="O61" s="11"/>
      <c r="P61" s="11"/>
      <c r="Q61" s="11"/>
      <c r="R61" s="11"/>
      <c r="S61" s="11"/>
    </row>
    <row r="62" customFormat="false" ht="15" hidden="false" customHeight="false" outlineLevel="0" collapsed="false">
      <c r="A62" s="11"/>
      <c r="B62" s="11"/>
      <c r="C62" s="11"/>
      <c r="D62" s="11"/>
      <c r="E62" s="11"/>
      <c r="F62" s="11"/>
      <c r="G62" s="11"/>
      <c r="H62" s="11"/>
      <c r="I62" s="11"/>
      <c r="J62" s="11"/>
      <c r="K62" s="11"/>
      <c r="L62" s="11"/>
      <c r="M62" s="11"/>
      <c r="N62" s="11"/>
      <c r="O62" s="11"/>
      <c r="P62" s="11"/>
      <c r="Q62" s="11"/>
      <c r="R62" s="11"/>
      <c r="S62" s="11"/>
    </row>
    <row r="63" customFormat="false" ht="15" hidden="false" customHeight="false" outlineLevel="0" collapsed="false">
      <c r="A63" s="11"/>
      <c r="B63" s="11"/>
      <c r="C63" s="11"/>
      <c r="D63" s="11"/>
      <c r="E63" s="11"/>
      <c r="F63" s="11"/>
      <c r="G63" s="11"/>
      <c r="H63" s="11"/>
      <c r="I63" s="11"/>
      <c r="J63" s="11"/>
      <c r="K63" s="11"/>
      <c r="L63" s="11"/>
      <c r="M63" s="11"/>
      <c r="N63" s="11"/>
      <c r="O63" s="11"/>
      <c r="P63" s="11"/>
      <c r="Q63" s="11"/>
      <c r="R63" s="11"/>
      <c r="S63" s="11"/>
    </row>
    <row r="64" customFormat="false" ht="15" hidden="false" customHeight="false" outlineLevel="0" collapsed="false">
      <c r="A64" s="11"/>
      <c r="B64" s="11"/>
      <c r="C64" s="11"/>
      <c r="D64" s="11"/>
      <c r="E64" s="11"/>
      <c r="F64" s="11"/>
      <c r="G64" s="11"/>
      <c r="H64" s="11"/>
      <c r="I64" s="11"/>
      <c r="J64" s="11"/>
      <c r="K64" s="11"/>
      <c r="L64" s="11"/>
      <c r="M64" s="11"/>
      <c r="N64" s="11"/>
      <c r="O64" s="11"/>
      <c r="P64" s="11"/>
      <c r="Q64" s="11"/>
      <c r="R64" s="11"/>
      <c r="S64" s="11"/>
    </row>
    <row r="65" customFormat="false" ht="15" hidden="false" customHeight="false" outlineLevel="0" collapsed="false">
      <c r="A65" s="11"/>
      <c r="B65" s="11"/>
      <c r="C65" s="11"/>
      <c r="D65" s="11"/>
      <c r="E65" s="11"/>
      <c r="F65" s="11"/>
      <c r="G65" s="11"/>
      <c r="H65" s="11"/>
      <c r="I65" s="11"/>
      <c r="J65" s="11"/>
      <c r="K65" s="11"/>
      <c r="L65" s="11"/>
      <c r="M65" s="11"/>
      <c r="N65" s="11"/>
      <c r="O65" s="11"/>
      <c r="P65" s="11"/>
      <c r="Q65" s="11"/>
      <c r="R65" s="11"/>
      <c r="S65" s="11"/>
    </row>
    <row r="66" customFormat="false" ht="15" hidden="false" customHeight="false" outlineLevel="0" collapsed="false">
      <c r="A66" s="11"/>
      <c r="B66" s="11"/>
      <c r="C66" s="11"/>
      <c r="D66" s="11"/>
      <c r="E66" s="11"/>
      <c r="F66" s="11"/>
      <c r="G66" s="11"/>
      <c r="H66" s="11"/>
      <c r="I66" s="11"/>
      <c r="J66" s="11"/>
      <c r="K66" s="11"/>
      <c r="L66" s="11"/>
      <c r="M66" s="11"/>
      <c r="N66" s="11"/>
      <c r="O66" s="11"/>
      <c r="P66" s="11"/>
      <c r="Q66" s="11"/>
      <c r="R66" s="11"/>
      <c r="S66" s="11"/>
    </row>
    <row r="67" customFormat="false" ht="15" hidden="false" customHeight="false" outlineLevel="0" collapsed="false">
      <c r="A67" s="11"/>
      <c r="B67" s="11"/>
      <c r="C67" s="11"/>
      <c r="D67" s="11"/>
      <c r="E67" s="11"/>
      <c r="F67" s="11"/>
      <c r="G67" s="11"/>
      <c r="H67" s="11"/>
      <c r="I67" s="11"/>
      <c r="J67" s="11"/>
      <c r="K67" s="11"/>
      <c r="L67" s="11"/>
      <c r="M67" s="11"/>
      <c r="N67" s="11"/>
      <c r="O67" s="11"/>
      <c r="P67" s="11"/>
      <c r="Q67" s="11"/>
      <c r="R67" s="11"/>
      <c r="S67" s="11"/>
    </row>
    <row r="68" customFormat="false" ht="15" hidden="false" customHeight="false" outlineLevel="0" collapsed="false">
      <c r="A68" s="11"/>
      <c r="B68" s="11"/>
      <c r="C68" s="11"/>
      <c r="D68" s="11"/>
      <c r="E68" s="11"/>
      <c r="F68" s="11"/>
      <c r="G68" s="11"/>
      <c r="H68" s="11"/>
      <c r="I68" s="11"/>
      <c r="J68" s="11"/>
      <c r="K68" s="11"/>
      <c r="L68" s="11"/>
      <c r="M68" s="11"/>
      <c r="N68" s="11"/>
      <c r="O68" s="11"/>
      <c r="P68" s="11"/>
      <c r="Q68" s="11"/>
      <c r="R68" s="11"/>
      <c r="S68" s="11"/>
    </row>
    <row r="69" customFormat="false" ht="15" hidden="false" customHeight="false" outlineLevel="0" collapsed="false">
      <c r="A69" s="11"/>
      <c r="B69" s="11"/>
      <c r="C69" s="11"/>
      <c r="D69" s="11"/>
      <c r="E69" s="11"/>
      <c r="F69" s="11"/>
      <c r="G69" s="11"/>
      <c r="H69" s="11"/>
      <c r="I69" s="11"/>
      <c r="J69" s="11"/>
      <c r="K69" s="11"/>
      <c r="L69" s="11"/>
      <c r="M69" s="11"/>
      <c r="N69" s="11"/>
      <c r="O69" s="11"/>
      <c r="P69" s="11"/>
      <c r="Q69" s="11"/>
      <c r="R69" s="11"/>
      <c r="S69" s="11"/>
    </row>
    <row r="70" customFormat="false" ht="15" hidden="false" customHeight="false" outlineLevel="0" collapsed="false">
      <c r="A70" s="11"/>
      <c r="B70" s="11"/>
      <c r="C70" s="11"/>
      <c r="D70" s="11"/>
      <c r="E70" s="11"/>
      <c r="F70" s="11"/>
      <c r="G70" s="11"/>
      <c r="H70" s="11"/>
      <c r="I70" s="11"/>
      <c r="J70" s="11"/>
      <c r="K70" s="11"/>
      <c r="L70" s="11"/>
      <c r="M70" s="11"/>
      <c r="N70" s="11"/>
      <c r="O70" s="11"/>
      <c r="P70" s="11"/>
      <c r="Q70" s="11"/>
      <c r="R70" s="11"/>
      <c r="S70" s="11"/>
    </row>
    <row r="71" customFormat="false" ht="15" hidden="false" customHeight="false" outlineLevel="0" collapsed="false">
      <c r="A71" s="11"/>
      <c r="B71" s="11"/>
      <c r="C71" s="11"/>
      <c r="D71" s="11"/>
      <c r="E71" s="11"/>
      <c r="F71" s="11"/>
      <c r="G71" s="11"/>
      <c r="H71" s="11"/>
      <c r="I71" s="11"/>
      <c r="J71" s="11"/>
      <c r="K71" s="11"/>
      <c r="L71" s="11"/>
      <c r="M71" s="11"/>
      <c r="N71" s="11"/>
      <c r="O71" s="11"/>
      <c r="P71" s="11"/>
      <c r="Q71" s="11"/>
      <c r="R71" s="11"/>
      <c r="S71" s="11"/>
    </row>
    <row r="72" customFormat="false" ht="15" hidden="false" customHeight="false" outlineLevel="0" collapsed="false">
      <c r="A72" s="11"/>
      <c r="B72" s="11"/>
      <c r="C72" s="11"/>
      <c r="D72" s="11"/>
      <c r="E72" s="11"/>
      <c r="F72" s="11"/>
      <c r="G72" s="11"/>
      <c r="H72" s="11"/>
      <c r="I72" s="11"/>
      <c r="J72" s="11"/>
      <c r="K72" s="11"/>
      <c r="L72" s="11"/>
      <c r="M72" s="11"/>
      <c r="N72" s="11"/>
      <c r="O72" s="11"/>
      <c r="P72" s="11"/>
      <c r="Q72" s="11"/>
      <c r="R72" s="11"/>
      <c r="S72" s="11"/>
    </row>
    <row r="73" customFormat="false" ht="15" hidden="false" customHeight="false" outlineLevel="0" collapsed="false">
      <c r="A73" s="11"/>
      <c r="B73" s="11"/>
      <c r="C73" s="11"/>
      <c r="D73" s="11"/>
      <c r="E73" s="11"/>
      <c r="F73" s="11"/>
      <c r="G73" s="11"/>
      <c r="H73" s="11"/>
      <c r="I73" s="11"/>
      <c r="J73" s="11"/>
      <c r="K73" s="11"/>
      <c r="L73" s="11"/>
      <c r="M73" s="11"/>
      <c r="N73" s="11"/>
      <c r="O73" s="11"/>
      <c r="P73" s="11"/>
      <c r="Q73" s="11"/>
      <c r="R73" s="11"/>
      <c r="S73" s="11"/>
    </row>
    <row r="74" customFormat="false" ht="15" hidden="false" customHeight="false" outlineLevel="0" collapsed="false">
      <c r="A74" s="11"/>
      <c r="B74" s="11"/>
      <c r="C74" s="11"/>
      <c r="D74" s="11"/>
      <c r="E74" s="11"/>
      <c r="F74" s="11"/>
      <c r="G74" s="11"/>
      <c r="H74" s="11"/>
      <c r="I74" s="11"/>
      <c r="J74" s="11"/>
      <c r="K74" s="11"/>
      <c r="L74" s="11"/>
      <c r="M74" s="11"/>
      <c r="N74" s="11"/>
      <c r="O74" s="11"/>
      <c r="P74" s="11"/>
      <c r="Q74" s="11"/>
      <c r="R74" s="11"/>
      <c r="S74" s="11"/>
    </row>
    <row r="75" customFormat="false" ht="15" hidden="false" customHeight="false" outlineLevel="0" collapsed="false">
      <c r="A75" s="11"/>
      <c r="B75" s="11"/>
      <c r="C75" s="11"/>
      <c r="D75" s="11"/>
      <c r="E75" s="11"/>
      <c r="F75" s="11"/>
      <c r="G75" s="11"/>
      <c r="H75" s="11"/>
      <c r="I75" s="11"/>
      <c r="J75" s="11"/>
      <c r="K75" s="11"/>
      <c r="L75" s="11"/>
      <c r="M75" s="11"/>
      <c r="N75" s="11"/>
      <c r="O75" s="11"/>
      <c r="P75" s="11"/>
      <c r="Q75" s="11"/>
      <c r="R75" s="11"/>
      <c r="S75" s="11"/>
    </row>
    <row r="76" customFormat="false" ht="15" hidden="false" customHeight="false" outlineLevel="0" collapsed="false">
      <c r="A76" s="11"/>
      <c r="B76" s="11"/>
      <c r="C76" s="11"/>
      <c r="D76" s="11"/>
      <c r="E76" s="11"/>
      <c r="F76" s="11"/>
      <c r="G76" s="11"/>
      <c r="H76" s="11"/>
      <c r="I76" s="11"/>
      <c r="J76" s="11"/>
      <c r="K76" s="11"/>
      <c r="L76" s="11"/>
      <c r="M76" s="11"/>
      <c r="N76" s="11"/>
      <c r="O76" s="11"/>
      <c r="P76" s="11"/>
      <c r="Q76" s="11"/>
      <c r="R76" s="11"/>
      <c r="S76" s="11"/>
    </row>
    <row r="77" customFormat="false" ht="15" hidden="false" customHeight="false" outlineLevel="0" collapsed="false">
      <c r="A77" s="11"/>
      <c r="B77" s="11"/>
      <c r="C77" s="11"/>
      <c r="D77" s="11"/>
      <c r="E77" s="11"/>
      <c r="F77" s="11"/>
      <c r="G77" s="11"/>
      <c r="H77" s="11"/>
      <c r="I77" s="11"/>
      <c r="J77" s="11"/>
      <c r="K77" s="11"/>
      <c r="L77" s="11"/>
      <c r="M77" s="11"/>
      <c r="N77" s="11"/>
      <c r="O77" s="11"/>
      <c r="P77" s="11"/>
      <c r="Q77" s="11"/>
      <c r="R77" s="11"/>
      <c r="S77" s="11"/>
    </row>
    <row r="78" customFormat="false" ht="15" hidden="false" customHeight="false" outlineLevel="0" collapsed="false">
      <c r="A78" s="11"/>
      <c r="B78" s="11"/>
      <c r="C78" s="11"/>
      <c r="D78" s="11"/>
      <c r="E78" s="11"/>
      <c r="F78" s="11"/>
      <c r="G78" s="11"/>
      <c r="H78" s="11"/>
      <c r="I78" s="11"/>
      <c r="J78" s="11"/>
      <c r="K78" s="11"/>
      <c r="L78" s="11"/>
      <c r="M78" s="11"/>
      <c r="N78" s="11"/>
      <c r="O78" s="11"/>
      <c r="P78" s="11"/>
      <c r="Q78" s="11"/>
      <c r="R78" s="11"/>
      <c r="S78" s="11"/>
    </row>
    <row r="79" customFormat="false" ht="15" hidden="false" customHeight="false" outlineLevel="0" collapsed="false">
      <c r="A79" s="11"/>
      <c r="B79" s="11"/>
      <c r="C79" s="11"/>
      <c r="D79" s="11"/>
      <c r="E79" s="11"/>
      <c r="F79" s="11"/>
      <c r="G79" s="11"/>
      <c r="H79" s="11"/>
      <c r="I79" s="11"/>
      <c r="J79" s="11"/>
      <c r="K79" s="11"/>
      <c r="L79" s="11"/>
      <c r="M79" s="11"/>
      <c r="N79" s="11"/>
      <c r="O79" s="11"/>
      <c r="P79" s="11"/>
      <c r="Q79" s="11"/>
      <c r="R79" s="11"/>
      <c r="S79" s="11"/>
    </row>
    <row r="80" customFormat="false" ht="15" hidden="false" customHeight="false" outlineLevel="0" collapsed="false">
      <c r="A80" s="11"/>
      <c r="B80" s="11"/>
      <c r="C80" s="11"/>
      <c r="D80" s="11"/>
      <c r="E80" s="11"/>
      <c r="F80" s="11"/>
      <c r="G80" s="11"/>
      <c r="H80" s="11"/>
      <c r="I80" s="11"/>
      <c r="J80" s="11"/>
      <c r="K80" s="11"/>
      <c r="L80" s="11"/>
      <c r="M80" s="11"/>
      <c r="N80" s="11"/>
      <c r="O80" s="11"/>
      <c r="P80" s="11"/>
      <c r="Q80" s="11"/>
      <c r="R80" s="11"/>
      <c r="S80" s="11"/>
    </row>
    <row r="81" customFormat="false" ht="15" hidden="false" customHeight="false" outlineLevel="0" collapsed="false">
      <c r="A81" s="11"/>
      <c r="B81" s="11"/>
      <c r="C81" s="11"/>
      <c r="D81" s="11"/>
      <c r="E81" s="11"/>
      <c r="F81" s="11"/>
      <c r="G81" s="11"/>
      <c r="H81" s="11"/>
      <c r="I81" s="11"/>
      <c r="J81" s="11"/>
      <c r="K81" s="11"/>
      <c r="L81" s="11"/>
      <c r="M81" s="11"/>
      <c r="N81" s="11"/>
      <c r="O81" s="11"/>
      <c r="P81" s="11"/>
      <c r="Q81" s="11"/>
      <c r="R81" s="11"/>
      <c r="S81" s="11"/>
    </row>
    <row r="82" customFormat="false" ht="15" hidden="false" customHeight="false" outlineLevel="0" collapsed="false">
      <c r="A82" s="11"/>
      <c r="B82" s="11"/>
      <c r="C82" s="11"/>
      <c r="D82" s="11"/>
      <c r="E82" s="11"/>
      <c r="F82" s="11"/>
      <c r="G82" s="11"/>
      <c r="H82" s="11"/>
      <c r="I82" s="11"/>
      <c r="J82" s="11"/>
      <c r="K82" s="11"/>
      <c r="L82" s="11"/>
      <c r="M82" s="11"/>
      <c r="N82" s="11"/>
      <c r="O82" s="11"/>
      <c r="P82" s="11"/>
      <c r="Q82" s="11"/>
      <c r="R82" s="11"/>
      <c r="S82" s="11"/>
    </row>
    <row r="83" customFormat="false" ht="15" hidden="false" customHeight="false" outlineLevel="0" collapsed="false">
      <c r="A83" s="11"/>
      <c r="B83" s="11"/>
      <c r="C83" s="11"/>
      <c r="D83" s="11"/>
      <c r="E83" s="11"/>
      <c r="F83" s="11"/>
      <c r="G83" s="11"/>
      <c r="H83" s="11"/>
      <c r="I83" s="11"/>
      <c r="J83" s="11"/>
      <c r="K83" s="11"/>
      <c r="L83" s="11"/>
      <c r="M83" s="11"/>
      <c r="N83" s="11"/>
      <c r="O83" s="11"/>
      <c r="P83" s="11"/>
      <c r="Q83" s="11"/>
      <c r="R83" s="11"/>
      <c r="S83" s="11"/>
    </row>
    <row r="84" customFormat="false" ht="15" hidden="false" customHeight="false" outlineLevel="0" collapsed="false">
      <c r="A84" s="11"/>
      <c r="B84" s="11"/>
      <c r="C84" s="11"/>
      <c r="D84" s="11"/>
      <c r="E84" s="11"/>
      <c r="F84" s="11"/>
      <c r="G84" s="11"/>
      <c r="H84" s="11"/>
      <c r="I84" s="11"/>
      <c r="J84" s="11"/>
      <c r="K84" s="11"/>
      <c r="L84" s="11"/>
      <c r="M84" s="11"/>
      <c r="N84" s="11"/>
      <c r="O84" s="11"/>
      <c r="P84" s="11"/>
      <c r="Q84" s="11"/>
      <c r="R84" s="11"/>
      <c r="S84" s="11"/>
    </row>
    <row r="85" customFormat="false" ht="15" hidden="false" customHeight="false" outlineLevel="0" collapsed="false">
      <c r="A85" s="11"/>
      <c r="B85" s="11"/>
      <c r="C85" s="11"/>
      <c r="D85" s="11"/>
      <c r="E85" s="11"/>
      <c r="F85" s="11"/>
      <c r="G85" s="11"/>
      <c r="H85" s="11"/>
      <c r="I85" s="11"/>
      <c r="J85" s="11"/>
      <c r="K85" s="11"/>
      <c r="L85" s="11"/>
      <c r="M85" s="11"/>
      <c r="N85" s="11"/>
      <c r="O85" s="11"/>
      <c r="P85" s="11"/>
      <c r="Q85" s="11"/>
      <c r="R85" s="11"/>
      <c r="S85" s="11"/>
    </row>
    <row r="86" customFormat="false" ht="15" hidden="false" customHeight="false" outlineLevel="0" collapsed="false">
      <c r="A86" s="11"/>
      <c r="B86" s="11"/>
      <c r="C86" s="11"/>
      <c r="D86" s="11"/>
      <c r="E86" s="11"/>
      <c r="F86" s="11"/>
      <c r="G86" s="11"/>
      <c r="H86" s="11"/>
      <c r="I86" s="11"/>
      <c r="J86" s="11"/>
      <c r="K86" s="11"/>
      <c r="L86" s="11"/>
      <c r="M86" s="11"/>
      <c r="N86" s="11"/>
      <c r="O86" s="11"/>
      <c r="P86" s="11"/>
      <c r="Q86" s="11"/>
      <c r="R86" s="11"/>
      <c r="S86" s="11"/>
    </row>
    <row r="87" customFormat="false" ht="15" hidden="false" customHeight="false" outlineLevel="0" collapsed="false">
      <c r="A87" s="11"/>
      <c r="B87" s="11"/>
      <c r="C87" s="11"/>
      <c r="D87" s="11"/>
      <c r="E87" s="11"/>
      <c r="F87" s="11"/>
      <c r="G87" s="11"/>
      <c r="H87" s="11"/>
      <c r="I87" s="11"/>
      <c r="J87" s="11"/>
      <c r="K87" s="11"/>
      <c r="L87" s="11"/>
      <c r="M87" s="11"/>
      <c r="N87" s="11"/>
      <c r="O87" s="11"/>
      <c r="P87" s="11"/>
      <c r="Q87" s="11"/>
      <c r="R87" s="11"/>
      <c r="S87" s="11"/>
    </row>
    <row r="88" customFormat="false" ht="15" hidden="false" customHeight="false" outlineLevel="0" collapsed="false">
      <c r="A88" s="11"/>
      <c r="B88" s="11"/>
      <c r="C88" s="11"/>
      <c r="D88" s="11"/>
      <c r="E88" s="11"/>
      <c r="F88" s="11"/>
      <c r="G88" s="11"/>
      <c r="H88" s="11"/>
      <c r="I88" s="11"/>
      <c r="J88" s="11"/>
      <c r="K88" s="11"/>
      <c r="L88" s="11"/>
      <c r="M88" s="11"/>
      <c r="N88" s="11"/>
      <c r="O88" s="11"/>
      <c r="P88" s="11"/>
      <c r="Q88" s="11"/>
      <c r="R88" s="11"/>
      <c r="S88" s="11"/>
    </row>
    <row r="89" customFormat="false" ht="15" hidden="false" customHeight="false" outlineLevel="0" collapsed="false">
      <c r="A89" s="11"/>
      <c r="B89" s="11"/>
      <c r="C89" s="11"/>
      <c r="D89" s="11"/>
      <c r="E89" s="11"/>
      <c r="F89" s="11"/>
      <c r="G89" s="11"/>
      <c r="H89" s="11"/>
      <c r="I89" s="11"/>
      <c r="J89" s="11"/>
      <c r="K89" s="11"/>
      <c r="L89" s="11"/>
      <c r="M89" s="11"/>
      <c r="N89" s="11"/>
      <c r="O89" s="11"/>
      <c r="P89" s="11"/>
      <c r="Q89" s="11"/>
      <c r="R89" s="11"/>
      <c r="S89" s="11"/>
    </row>
    <row r="90" customFormat="false" ht="15" hidden="false" customHeight="false" outlineLevel="0" collapsed="false">
      <c r="A90" s="11"/>
      <c r="B90" s="11"/>
      <c r="C90" s="11"/>
      <c r="D90" s="11"/>
      <c r="E90" s="11"/>
      <c r="F90" s="11"/>
      <c r="G90" s="11"/>
      <c r="H90" s="11"/>
      <c r="I90" s="11"/>
      <c r="J90" s="11"/>
      <c r="K90" s="11"/>
      <c r="L90" s="11"/>
      <c r="M90" s="11"/>
      <c r="N90" s="11"/>
      <c r="O90" s="11"/>
      <c r="P90" s="11"/>
      <c r="Q90" s="11"/>
      <c r="R90" s="11"/>
      <c r="S90" s="11"/>
    </row>
    <row r="91" customFormat="false" ht="15" hidden="false" customHeight="false" outlineLevel="0" collapsed="false">
      <c r="A91" s="11"/>
      <c r="B91" s="11"/>
      <c r="C91" s="11"/>
      <c r="D91" s="11"/>
      <c r="E91" s="11"/>
      <c r="F91" s="11"/>
      <c r="G91" s="11"/>
      <c r="H91" s="11"/>
      <c r="I91" s="11"/>
      <c r="J91" s="11"/>
      <c r="K91" s="11"/>
      <c r="L91" s="11"/>
      <c r="M91" s="11"/>
      <c r="N91" s="11"/>
      <c r="O91" s="11"/>
      <c r="P91" s="11"/>
      <c r="Q91" s="11"/>
      <c r="R91" s="11"/>
      <c r="S91" s="11"/>
    </row>
    <row r="92" customFormat="false" ht="15" hidden="false" customHeight="false" outlineLevel="0" collapsed="false">
      <c r="A92" s="11"/>
      <c r="B92" s="11"/>
      <c r="C92" s="11"/>
      <c r="D92" s="11"/>
      <c r="E92" s="11"/>
      <c r="F92" s="11"/>
      <c r="G92" s="11"/>
      <c r="H92" s="11"/>
      <c r="I92" s="11"/>
      <c r="J92" s="11"/>
      <c r="K92" s="11"/>
      <c r="L92" s="11"/>
      <c r="M92" s="11"/>
      <c r="N92" s="11"/>
      <c r="O92" s="11"/>
      <c r="P92" s="11"/>
      <c r="Q92" s="11"/>
      <c r="R92" s="11"/>
      <c r="S92" s="11"/>
    </row>
    <row r="93" customFormat="false" ht="15" hidden="false" customHeight="false" outlineLevel="0" collapsed="false">
      <c r="A93" s="11"/>
      <c r="B93" s="11"/>
      <c r="C93" s="11"/>
      <c r="D93" s="11"/>
      <c r="E93" s="11"/>
      <c r="F93" s="11"/>
      <c r="G93" s="11"/>
      <c r="H93" s="11"/>
      <c r="I93" s="11"/>
      <c r="J93" s="11"/>
      <c r="K93" s="11"/>
      <c r="L93" s="11"/>
      <c r="M93" s="11"/>
      <c r="N93" s="11"/>
      <c r="O93" s="11"/>
      <c r="P93" s="11"/>
      <c r="Q93" s="11"/>
      <c r="R93" s="11"/>
      <c r="S93" s="11"/>
    </row>
    <row r="94" customFormat="false" ht="15" hidden="false" customHeight="false" outlineLevel="0" collapsed="false">
      <c r="A94" s="11"/>
      <c r="B94" s="11"/>
      <c r="C94" s="11"/>
      <c r="D94" s="11"/>
      <c r="E94" s="11"/>
      <c r="F94" s="11"/>
      <c r="G94" s="11"/>
      <c r="H94" s="11"/>
      <c r="I94" s="11"/>
      <c r="J94" s="11"/>
      <c r="K94" s="11"/>
      <c r="L94" s="11"/>
      <c r="M94" s="11"/>
      <c r="N94" s="11"/>
      <c r="O94" s="11"/>
      <c r="P94" s="11"/>
      <c r="Q94" s="11"/>
      <c r="R94" s="11"/>
      <c r="S94" s="11"/>
    </row>
    <row r="95" customFormat="false" ht="15" hidden="false" customHeight="false" outlineLevel="0" collapsed="false">
      <c r="A95" s="11"/>
      <c r="B95" s="11"/>
      <c r="C95" s="11"/>
      <c r="D95" s="11"/>
      <c r="E95" s="11"/>
      <c r="F95" s="11"/>
      <c r="G95" s="11"/>
      <c r="H95" s="11"/>
      <c r="I95" s="11"/>
      <c r="J95" s="11"/>
      <c r="K95" s="11"/>
      <c r="L95" s="11"/>
      <c r="M95" s="11"/>
      <c r="N95" s="11"/>
      <c r="O95" s="11"/>
      <c r="P95" s="11"/>
      <c r="Q95" s="11"/>
      <c r="R95" s="11"/>
      <c r="S95" s="11"/>
    </row>
    <row r="96" customFormat="false" ht="15" hidden="false" customHeight="false" outlineLevel="0" collapsed="false">
      <c r="A96" s="11"/>
      <c r="B96" s="11"/>
      <c r="C96" s="11"/>
      <c r="D96" s="11"/>
      <c r="E96" s="11"/>
      <c r="F96" s="11"/>
      <c r="G96" s="11"/>
      <c r="H96" s="11"/>
      <c r="I96" s="11"/>
      <c r="J96" s="11"/>
      <c r="K96" s="11"/>
      <c r="L96" s="11"/>
      <c r="M96" s="11"/>
      <c r="N96" s="11"/>
      <c r="O96" s="11"/>
      <c r="P96" s="11"/>
      <c r="Q96" s="11"/>
      <c r="R96" s="11"/>
      <c r="S96" s="11"/>
    </row>
    <row r="97" customFormat="false" ht="15" hidden="false" customHeight="false" outlineLevel="0" collapsed="false">
      <c r="A97" s="11"/>
      <c r="B97" s="11"/>
      <c r="C97" s="11"/>
      <c r="D97" s="11"/>
      <c r="E97" s="11"/>
      <c r="F97" s="11"/>
      <c r="G97" s="11"/>
      <c r="H97" s="11"/>
      <c r="I97" s="11"/>
      <c r="J97" s="11"/>
      <c r="K97" s="11"/>
      <c r="L97" s="11"/>
      <c r="M97" s="11"/>
      <c r="N97" s="11"/>
      <c r="O97" s="11"/>
      <c r="P97" s="11"/>
      <c r="Q97" s="11"/>
      <c r="R97" s="11"/>
      <c r="S97" s="11"/>
    </row>
    <row r="98" customFormat="false" ht="15" hidden="false" customHeight="false" outlineLevel="0" collapsed="false">
      <c r="A98" s="11"/>
      <c r="B98" s="11"/>
      <c r="C98" s="11"/>
      <c r="D98" s="11"/>
      <c r="E98" s="11"/>
      <c r="F98" s="11"/>
      <c r="G98" s="11"/>
      <c r="H98" s="11"/>
      <c r="I98" s="11"/>
      <c r="J98" s="11"/>
      <c r="K98" s="11"/>
      <c r="L98" s="11"/>
      <c r="M98" s="11"/>
      <c r="N98" s="11"/>
      <c r="O98" s="11"/>
      <c r="P98" s="11"/>
      <c r="Q98" s="11"/>
      <c r="R98" s="11"/>
      <c r="S98" s="11"/>
    </row>
    <row r="99" customFormat="false" ht="15" hidden="false" customHeight="false" outlineLevel="0" collapsed="false">
      <c r="A99" s="11"/>
      <c r="B99" s="11"/>
      <c r="C99" s="11"/>
      <c r="D99" s="11"/>
      <c r="E99" s="11"/>
      <c r="F99" s="11"/>
      <c r="G99" s="11"/>
      <c r="H99" s="11"/>
      <c r="I99" s="11"/>
      <c r="J99" s="11"/>
      <c r="K99" s="11"/>
      <c r="L99" s="11"/>
      <c r="M99" s="11"/>
      <c r="N99" s="11"/>
      <c r="O99" s="11"/>
      <c r="P99" s="11"/>
      <c r="Q99" s="11"/>
      <c r="R99" s="11"/>
      <c r="S99" s="11"/>
    </row>
    <row r="100" customFormat="false" ht="15" hidden="false" customHeight="false" outlineLevel="0" collapsed="false">
      <c r="A100" s="11"/>
      <c r="B100" s="11"/>
      <c r="C100" s="11"/>
      <c r="D100" s="11"/>
      <c r="E100" s="11"/>
      <c r="F100" s="11"/>
      <c r="G100" s="11"/>
      <c r="H100" s="11"/>
      <c r="I100" s="11"/>
      <c r="J100" s="11"/>
      <c r="K100" s="11"/>
      <c r="L100" s="11"/>
      <c r="M100" s="11"/>
      <c r="N100" s="11"/>
      <c r="O100" s="11"/>
      <c r="P100" s="11"/>
      <c r="Q100" s="11"/>
      <c r="R100" s="11"/>
      <c r="S100" s="11"/>
    </row>
    <row r="101" customFormat="false" ht="15" hidden="false" customHeight="false" outlineLevel="0" collapsed="false">
      <c r="A101" s="11"/>
      <c r="B101" s="11"/>
      <c r="C101" s="11"/>
      <c r="D101" s="11"/>
      <c r="E101" s="11"/>
      <c r="F101" s="11"/>
      <c r="G101" s="11"/>
      <c r="H101" s="11"/>
      <c r="I101" s="11"/>
      <c r="J101" s="11"/>
      <c r="K101" s="11"/>
      <c r="L101" s="11"/>
      <c r="M101" s="11"/>
      <c r="N101" s="11"/>
      <c r="O101" s="11"/>
      <c r="P101" s="11"/>
      <c r="Q101" s="11"/>
      <c r="R101" s="11"/>
      <c r="S101" s="11"/>
    </row>
    <row r="102" customFormat="false" ht="15" hidden="false" customHeight="false" outlineLevel="0" collapsed="false">
      <c r="A102" s="11"/>
      <c r="B102" s="11"/>
      <c r="C102" s="11"/>
      <c r="D102" s="11"/>
      <c r="E102" s="11"/>
      <c r="F102" s="11"/>
      <c r="G102" s="11"/>
      <c r="H102" s="11"/>
      <c r="I102" s="11"/>
      <c r="J102" s="11"/>
      <c r="K102" s="11"/>
      <c r="L102" s="11"/>
      <c r="M102" s="11"/>
      <c r="N102" s="11"/>
      <c r="O102" s="11"/>
      <c r="P102" s="11"/>
      <c r="Q102" s="11"/>
      <c r="R102" s="11"/>
      <c r="S102" s="11"/>
    </row>
    <row r="103" customFormat="false" ht="15" hidden="false" customHeight="false" outlineLevel="0" collapsed="false">
      <c r="A103" s="11"/>
      <c r="B103" s="11"/>
      <c r="C103" s="11"/>
      <c r="D103" s="11"/>
      <c r="E103" s="11"/>
      <c r="F103" s="11"/>
      <c r="G103" s="11"/>
      <c r="H103" s="11"/>
      <c r="I103" s="11"/>
      <c r="J103" s="11"/>
      <c r="K103" s="11"/>
      <c r="L103" s="11"/>
      <c r="M103" s="11"/>
      <c r="N103" s="11"/>
      <c r="O103" s="11"/>
      <c r="P103" s="11"/>
      <c r="Q103" s="11"/>
      <c r="R103" s="11"/>
      <c r="S103" s="11"/>
    </row>
    <row r="104" customFormat="false" ht="15" hidden="false" customHeight="false" outlineLevel="0" collapsed="false">
      <c r="A104" s="11"/>
      <c r="B104" s="11"/>
      <c r="C104" s="11"/>
      <c r="D104" s="11"/>
      <c r="E104" s="11"/>
      <c r="F104" s="11"/>
      <c r="G104" s="11"/>
      <c r="H104" s="11"/>
      <c r="I104" s="11"/>
      <c r="J104" s="11"/>
      <c r="K104" s="11"/>
      <c r="L104" s="11"/>
      <c r="M104" s="11"/>
      <c r="N104" s="11"/>
      <c r="O104" s="11"/>
      <c r="P104" s="11"/>
      <c r="Q104" s="11"/>
      <c r="R104" s="11"/>
      <c r="S104" s="11"/>
    </row>
    <row r="105" customFormat="false" ht="15" hidden="false" customHeight="false" outlineLevel="0" collapsed="false">
      <c r="A105" s="11"/>
      <c r="B105" s="11"/>
      <c r="C105" s="11"/>
      <c r="D105" s="11"/>
      <c r="E105" s="11"/>
      <c r="F105" s="11"/>
      <c r="G105" s="11"/>
      <c r="H105" s="11"/>
      <c r="I105" s="11"/>
      <c r="J105" s="11"/>
      <c r="K105" s="11"/>
      <c r="L105" s="11"/>
      <c r="M105" s="11"/>
      <c r="N105" s="11"/>
      <c r="O105" s="11"/>
      <c r="P105" s="11"/>
      <c r="Q105" s="11"/>
      <c r="R105" s="11"/>
      <c r="S105" s="11"/>
    </row>
    <row r="106" customFormat="false" ht="15" hidden="false" customHeight="false" outlineLevel="0" collapsed="false">
      <c r="A106" s="11"/>
      <c r="B106" s="11"/>
      <c r="C106" s="11"/>
      <c r="D106" s="11"/>
      <c r="E106" s="11"/>
      <c r="F106" s="11"/>
      <c r="G106" s="11"/>
      <c r="H106" s="11"/>
      <c r="I106" s="11"/>
      <c r="J106" s="11"/>
      <c r="K106" s="11"/>
      <c r="L106" s="11"/>
      <c r="M106" s="11"/>
      <c r="N106" s="11"/>
      <c r="O106" s="11"/>
      <c r="P106" s="11"/>
      <c r="Q106" s="11"/>
      <c r="R106" s="11"/>
      <c r="S106" s="11"/>
    </row>
    <row r="107" customFormat="false" ht="15" hidden="false" customHeight="false" outlineLevel="0" collapsed="false">
      <c r="A107" s="11"/>
      <c r="B107" s="11"/>
      <c r="C107" s="11"/>
      <c r="D107" s="11"/>
      <c r="E107" s="11"/>
      <c r="F107" s="11"/>
      <c r="G107" s="11"/>
      <c r="H107" s="11"/>
      <c r="I107" s="11"/>
      <c r="J107" s="11"/>
      <c r="K107" s="11"/>
      <c r="L107" s="11"/>
      <c r="M107" s="11"/>
      <c r="N107" s="11"/>
      <c r="O107" s="11"/>
      <c r="P107" s="11"/>
      <c r="Q107" s="11"/>
      <c r="R107" s="11"/>
      <c r="S107" s="11"/>
    </row>
    <row r="108" customFormat="false" ht="15" hidden="false" customHeight="false" outlineLevel="0" collapsed="false">
      <c r="A108" s="11"/>
      <c r="B108" s="11"/>
      <c r="C108" s="11"/>
      <c r="D108" s="11"/>
      <c r="E108" s="11"/>
      <c r="F108" s="11"/>
      <c r="G108" s="11"/>
      <c r="H108" s="11"/>
      <c r="I108" s="11"/>
      <c r="J108" s="11"/>
      <c r="K108" s="11"/>
      <c r="L108" s="11"/>
      <c r="M108" s="11"/>
      <c r="N108" s="11"/>
      <c r="O108" s="11"/>
      <c r="P108" s="11"/>
      <c r="Q108" s="11"/>
      <c r="R108" s="11"/>
      <c r="S108" s="11"/>
    </row>
    <row r="109" customFormat="false" ht="15" hidden="false" customHeight="false" outlineLevel="0" collapsed="false">
      <c r="A109" s="11"/>
      <c r="B109" s="11"/>
      <c r="C109" s="11"/>
      <c r="D109" s="11"/>
      <c r="E109" s="11"/>
      <c r="F109" s="11"/>
      <c r="G109" s="11"/>
      <c r="H109" s="11"/>
      <c r="I109" s="11"/>
      <c r="J109" s="11"/>
      <c r="K109" s="11"/>
      <c r="L109" s="11"/>
      <c r="M109" s="11"/>
      <c r="N109" s="11"/>
      <c r="O109" s="11"/>
      <c r="P109" s="11"/>
      <c r="Q109" s="11"/>
      <c r="R109" s="11"/>
      <c r="S109" s="11"/>
    </row>
    <row r="110" customFormat="false" ht="15" hidden="false" customHeight="false" outlineLevel="0" collapsed="false">
      <c r="A110" s="11"/>
      <c r="B110" s="11"/>
      <c r="C110" s="11"/>
      <c r="D110" s="11"/>
      <c r="E110" s="11"/>
      <c r="F110" s="11"/>
      <c r="G110" s="11"/>
      <c r="H110" s="11"/>
      <c r="I110" s="11"/>
      <c r="J110" s="11"/>
      <c r="K110" s="11"/>
      <c r="L110" s="11"/>
      <c r="M110" s="11"/>
      <c r="N110" s="11"/>
      <c r="O110" s="11"/>
      <c r="P110" s="11"/>
      <c r="Q110" s="11"/>
      <c r="R110" s="11"/>
      <c r="S110" s="11"/>
    </row>
    <row r="111" customFormat="false" ht="15" hidden="false" customHeight="false" outlineLevel="0" collapsed="false">
      <c r="A111" s="11"/>
      <c r="B111" s="11"/>
      <c r="C111" s="11"/>
      <c r="D111" s="11"/>
      <c r="E111" s="11"/>
      <c r="F111" s="11"/>
      <c r="G111" s="11"/>
      <c r="H111" s="11"/>
      <c r="I111" s="11"/>
      <c r="J111" s="11"/>
      <c r="K111" s="11"/>
      <c r="L111" s="11"/>
      <c r="M111" s="11"/>
      <c r="N111" s="11"/>
      <c r="O111" s="11"/>
      <c r="P111" s="11"/>
      <c r="Q111" s="11"/>
      <c r="R111" s="11"/>
      <c r="S111" s="11"/>
    </row>
    <row r="112" customFormat="false" ht="15" hidden="false" customHeight="false" outlineLevel="0" collapsed="false">
      <c r="A112" s="11"/>
      <c r="B112" s="11"/>
      <c r="C112" s="11"/>
      <c r="D112" s="11"/>
      <c r="E112" s="11"/>
      <c r="F112" s="11"/>
      <c r="G112" s="11"/>
      <c r="H112" s="11"/>
      <c r="I112" s="11"/>
      <c r="J112" s="11"/>
      <c r="K112" s="11"/>
      <c r="L112" s="11"/>
      <c r="M112" s="11"/>
      <c r="N112" s="11"/>
      <c r="O112" s="11"/>
      <c r="P112" s="11"/>
      <c r="Q112" s="11"/>
      <c r="R112" s="11"/>
      <c r="S112" s="11"/>
    </row>
    <row r="113" customFormat="false" ht="15" hidden="false" customHeight="false" outlineLevel="0" collapsed="false">
      <c r="A113" s="11"/>
      <c r="B113" s="11"/>
      <c r="C113" s="11"/>
      <c r="D113" s="11"/>
      <c r="E113" s="11"/>
      <c r="F113" s="11"/>
      <c r="G113" s="11"/>
      <c r="H113" s="11"/>
      <c r="I113" s="11"/>
      <c r="J113" s="11"/>
      <c r="K113" s="11"/>
      <c r="L113" s="11"/>
      <c r="M113" s="11"/>
      <c r="N113" s="11"/>
      <c r="O113" s="11"/>
      <c r="P113" s="11"/>
      <c r="Q113" s="11"/>
      <c r="R113" s="11"/>
      <c r="S113" s="11"/>
    </row>
    <row r="114" customFormat="false" ht="15" hidden="false" customHeight="false" outlineLevel="0" collapsed="false">
      <c r="A114" s="11"/>
      <c r="B114" s="11"/>
      <c r="C114" s="11"/>
      <c r="D114" s="11"/>
      <c r="E114" s="11"/>
      <c r="F114" s="11"/>
      <c r="G114" s="11"/>
      <c r="H114" s="11"/>
      <c r="I114" s="11"/>
      <c r="J114" s="11"/>
      <c r="K114" s="11"/>
      <c r="L114" s="11"/>
      <c r="M114" s="11"/>
      <c r="N114" s="11"/>
      <c r="O114" s="11"/>
      <c r="P114" s="11"/>
      <c r="Q114" s="11"/>
      <c r="R114" s="11"/>
      <c r="S114" s="11"/>
    </row>
    <row r="115" customFormat="false" ht="15" hidden="false" customHeight="false" outlineLevel="0" collapsed="false">
      <c r="A115" s="11"/>
      <c r="B115" s="11"/>
      <c r="C115" s="11"/>
      <c r="D115" s="11"/>
      <c r="E115" s="11"/>
      <c r="F115" s="11"/>
      <c r="G115" s="11"/>
      <c r="H115" s="11"/>
      <c r="I115" s="11"/>
      <c r="J115" s="11"/>
      <c r="K115" s="11"/>
      <c r="L115" s="11"/>
      <c r="M115" s="11"/>
      <c r="N115" s="11"/>
      <c r="O115" s="11"/>
      <c r="P115" s="11"/>
      <c r="Q115" s="11"/>
      <c r="R115" s="11"/>
      <c r="S115" s="11"/>
    </row>
    <row r="116" customFormat="false" ht="15" hidden="false" customHeight="false" outlineLevel="0" collapsed="false">
      <c r="A116" s="11"/>
      <c r="B116" s="11"/>
      <c r="C116" s="11"/>
      <c r="D116" s="11"/>
      <c r="E116" s="11"/>
      <c r="F116" s="11"/>
      <c r="G116" s="11"/>
      <c r="H116" s="11"/>
      <c r="I116" s="11"/>
      <c r="J116" s="11"/>
      <c r="K116" s="11"/>
      <c r="L116" s="11"/>
      <c r="M116" s="11"/>
      <c r="N116" s="11"/>
      <c r="O116" s="11"/>
      <c r="P116" s="11"/>
      <c r="Q116" s="11"/>
      <c r="R116" s="11"/>
      <c r="S116" s="11"/>
    </row>
    <row r="117" customFormat="false" ht="15" hidden="false" customHeight="false" outlineLevel="0" collapsed="false">
      <c r="A117" s="11"/>
      <c r="B117" s="11"/>
      <c r="C117" s="11"/>
      <c r="D117" s="11"/>
      <c r="E117" s="11"/>
      <c r="F117" s="11"/>
      <c r="G117" s="11"/>
      <c r="H117" s="11"/>
      <c r="I117" s="11"/>
      <c r="J117" s="11"/>
      <c r="K117" s="11"/>
      <c r="L117" s="11"/>
      <c r="M117" s="11"/>
      <c r="N117" s="11"/>
      <c r="O117" s="11"/>
      <c r="P117" s="11"/>
      <c r="Q117" s="11"/>
      <c r="R117" s="11"/>
      <c r="S117" s="11"/>
    </row>
    <row r="118" customFormat="false" ht="15" hidden="false" customHeight="false" outlineLevel="0" collapsed="false">
      <c r="A118" s="11"/>
      <c r="B118" s="11"/>
      <c r="C118" s="11"/>
      <c r="D118" s="11"/>
      <c r="E118" s="11"/>
      <c r="F118" s="11"/>
      <c r="G118" s="11"/>
      <c r="H118" s="11"/>
      <c r="I118" s="11"/>
      <c r="J118" s="11"/>
      <c r="K118" s="11"/>
      <c r="L118" s="11"/>
      <c r="M118" s="11"/>
      <c r="N118" s="11"/>
      <c r="O118" s="11"/>
      <c r="P118" s="11"/>
      <c r="Q118" s="11"/>
      <c r="R118" s="11"/>
      <c r="S118" s="11"/>
    </row>
    <row r="119" customFormat="false" ht="15" hidden="false" customHeight="false" outlineLevel="0" collapsed="false">
      <c r="A119" s="11"/>
      <c r="B119" s="11"/>
      <c r="C119" s="11"/>
      <c r="D119" s="11"/>
      <c r="E119" s="11"/>
      <c r="F119" s="11"/>
      <c r="G119" s="11"/>
      <c r="H119" s="11"/>
      <c r="I119" s="11"/>
      <c r="J119" s="11"/>
      <c r="K119" s="11"/>
      <c r="L119" s="11"/>
      <c r="M119" s="11"/>
      <c r="N119" s="11"/>
      <c r="O119" s="11"/>
      <c r="P119" s="11"/>
      <c r="Q119" s="11"/>
      <c r="R119" s="11"/>
      <c r="S119" s="11"/>
    </row>
    <row r="120" customFormat="false" ht="15" hidden="false" customHeight="false" outlineLevel="0" collapsed="false">
      <c r="A120" s="11"/>
      <c r="B120" s="11"/>
      <c r="C120" s="11"/>
      <c r="D120" s="11"/>
      <c r="E120" s="11"/>
      <c r="F120" s="11"/>
      <c r="G120" s="11"/>
      <c r="H120" s="11"/>
      <c r="I120" s="11"/>
      <c r="J120" s="11"/>
      <c r="K120" s="11"/>
      <c r="L120" s="11"/>
      <c r="M120" s="11"/>
      <c r="N120" s="11"/>
      <c r="O120" s="11"/>
      <c r="P120" s="11"/>
      <c r="Q120" s="11"/>
      <c r="R120" s="11"/>
      <c r="S120" s="11"/>
    </row>
    <row r="121" customFormat="false" ht="15" hidden="false" customHeight="false" outlineLevel="0" collapsed="false">
      <c r="A121" s="11"/>
      <c r="B121" s="11"/>
      <c r="C121" s="11"/>
      <c r="D121" s="11"/>
      <c r="E121" s="11"/>
      <c r="F121" s="11"/>
      <c r="G121" s="11"/>
      <c r="H121" s="11"/>
      <c r="I121" s="11"/>
      <c r="J121" s="11"/>
      <c r="K121" s="11"/>
      <c r="L121" s="11"/>
      <c r="M121" s="11"/>
      <c r="N121" s="11"/>
      <c r="O121" s="11"/>
      <c r="P121" s="11"/>
      <c r="Q121" s="11"/>
      <c r="R121" s="11"/>
      <c r="S121" s="11"/>
    </row>
    <row r="122" customFormat="false" ht="15" hidden="false" customHeight="false" outlineLevel="0" collapsed="false">
      <c r="A122" s="11"/>
      <c r="B122" s="11"/>
      <c r="C122" s="11"/>
      <c r="D122" s="11"/>
      <c r="E122" s="11"/>
      <c r="F122" s="11"/>
      <c r="G122" s="11"/>
      <c r="H122" s="11"/>
      <c r="I122" s="11"/>
      <c r="J122" s="11"/>
      <c r="K122" s="11"/>
      <c r="L122" s="11"/>
      <c r="M122" s="11"/>
      <c r="N122" s="11"/>
      <c r="O122" s="11"/>
      <c r="P122" s="11"/>
      <c r="Q122" s="11"/>
      <c r="R122" s="11"/>
      <c r="S122" s="11"/>
    </row>
    <row r="123" customFormat="false" ht="15" hidden="false" customHeight="false" outlineLevel="0" collapsed="false">
      <c r="A123" s="11"/>
      <c r="B123" s="11"/>
      <c r="C123" s="11"/>
      <c r="D123" s="11"/>
      <c r="E123" s="11"/>
      <c r="F123" s="11"/>
      <c r="G123" s="11"/>
      <c r="H123" s="11"/>
      <c r="I123" s="11"/>
      <c r="J123" s="11"/>
      <c r="K123" s="11"/>
      <c r="L123" s="11"/>
      <c r="M123" s="11"/>
      <c r="N123" s="11"/>
      <c r="O123" s="11"/>
      <c r="P123" s="11"/>
      <c r="Q123" s="11"/>
      <c r="R123" s="11"/>
      <c r="S123" s="11"/>
    </row>
    <row r="124" customFormat="false" ht="15" hidden="false" customHeight="false" outlineLevel="0" collapsed="false">
      <c r="A124" s="11"/>
      <c r="B124" s="11"/>
      <c r="C124" s="11"/>
      <c r="D124" s="11"/>
      <c r="E124" s="11"/>
      <c r="F124" s="11"/>
      <c r="G124" s="11"/>
      <c r="H124" s="11"/>
      <c r="I124" s="11"/>
      <c r="J124" s="11"/>
      <c r="K124" s="11"/>
      <c r="L124" s="11"/>
      <c r="M124" s="11"/>
      <c r="N124" s="11"/>
      <c r="O124" s="11"/>
      <c r="P124" s="11"/>
      <c r="Q124" s="11"/>
      <c r="R124" s="11"/>
      <c r="S124" s="11"/>
    </row>
    <row r="125" customFormat="false" ht="15" hidden="false" customHeight="false" outlineLevel="0" collapsed="false">
      <c r="A125" s="11"/>
      <c r="B125" s="11"/>
      <c r="C125" s="11"/>
      <c r="D125" s="11"/>
      <c r="E125" s="11"/>
      <c r="F125" s="11"/>
      <c r="G125" s="11"/>
      <c r="H125" s="11"/>
      <c r="I125" s="11"/>
      <c r="J125" s="11"/>
      <c r="K125" s="11"/>
      <c r="L125" s="11"/>
      <c r="M125" s="11"/>
      <c r="N125" s="11"/>
      <c r="O125" s="11"/>
      <c r="P125" s="11"/>
      <c r="Q125" s="11"/>
      <c r="R125" s="11"/>
      <c r="S125" s="11"/>
    </row>
    <row r="126" customFormat="false" ht="15" hidden="false" customHeight="false" outlineLevel="0" collapsed="false">
      <c r="A126" s="11"/>
      <c r="B126" s="11"/>
      <c r="C126" s="11"/>
      <c r="D126" s="11"/>
      <c r="E126" s="11"/>
      <c r="F126" s="11"/>
      <c r="G126" s="11"/>
      <c r="H126" s="11"/>
      <c r="I126" s="11"/>
      <c r="J126" s="11"/>
      <c r="K126" s="11"/>
      <c r="L126" s="11"/>
      <c r="M126" s="11"/>
      <c r="N126" s="11"/>
      <c r="O126" s="11"/>
      <c r="P126" s="11"/>
      <c r="Q126" s="11"/>
      <c r="R126" s="11"/>
      <c r="S126" s="11"/>
    </row>
    <row r="127" customFormat="false" ht="15" hidden="false" customHeight="false" outlineLevel="0" collapsed="false">
      <c r="A127" s="11"/>
      <c r="B127" s="11"/>
      <c r="C127" s="11"/>
      <c r="D127" s="11"/>
      <c r="E127" s="11"/>
      <c r="F127" s="11"/>
      <c r="G127" s="11"/>
      <c r="H127" s="11"/>
      <c r="I127" s="11"/>
      <c r="J127" s="11"/>
      <c r="K127" s="11"/>
      <c r="L127" s="11"/>
      <c r="M127" s="11"/>
      <c r="N127" s="11"/>
      <c r="O127" s="11"/>
      <c r="P127" s="11"/>
      <c r="Q127" s="11"/>
      <c r="R127" s="11"/>
      <c r="S127" s="11"/>
    </row>
    <row r="128" customFormat="false" ht="15" hidden="false" customHeight="false" outlineLevel="0" collapsed="false">
      <c r="A128" s="11"/>
      <c r="B128" s="11"/>
      <c r="C128" s="11"/>
      <c r="D128" s="11"/>
      <c r="E128" s="11"/>
      <c r="F128" s="11"/>
      <c r="G128" s="11"/>
      <c r="H128" s="11"/>
      <c r="I128" s="11"/>
      <c r="J128" s="11"/>
      <c r="K128" s="11"/>
      <c r="L128" s="11"/>
      <c r="M128" s="11"/>
      <c r="N128" s="11"/>
      <c r="O128" s="11"/>
      <c r="P128" s="11"/>
      <c r="Q128" s="11"/>
      <c r="R128" s="11"/>
      <c r="S128" s="11"/>
    </row>
    <row r="129" customFormat="false" ht="15" hidden="false" customHeight="false" outlineLevel="0" collapsed="false">
      <c r="A129" s="11"/>
      <c r="B129" s="11"/>
      <c r="C129" s="11"/>
      <c r="D129" s="11"/>
      <c r="E129" s="11"/>
      <c r="F129" s="11"/>
      <c r="G129" s="11"/>
      <c r="H129" s="11"/>
      <c r="I129" s="11"/>
      <c r="J129" s="11"/>
      <c r="K129" s="11"/>
      <c r="L129" s="11"/>
      <c r="M129" s="11"/>
      <c r="N129" s="11"/>
      <c r="O129" s="11"/>
      <c r="P129" s="11"/>
      <c r="Q129" s="11"/>
      <c r="R129" s="11"/>
      <c r="S129" s="11"/>
    </row>
    <row r="130" customFormat="false" ht="15" hidden="false" customHeight="false" outlineLevel="0" collapsed="false">
      <c r="A130" s="11"/>
      <c r="B130" s="11"/>
      <c r="C130" s="11"/>
      <c r="D130" s="11"/>
      <c r="E130" s="11"/>
      <c r="F130" s="11"/>
      <c r="G130" s="11"/>
      <c r="H130" s="11"/>
      <c r="I130" s="11"/>
      <c r="J130" s="11"/>
      <c r="K130" s="11"/>
      <c r="L130" s="11"/>
      <c r="M130" s="11"/>
      <c r="N130" s="11"/>
      <c r="O130" s="11"/>
      <c r="P130" s="11"/>
      <c r="Q130" s="11"/>
      <c r="R130" s="11"/>
      <c r="S130" s="11"/>
    </row>
    <row r="131" customFormat="false" ht="15" hidden="false" customHeight="false" outlineLevel="0" collapsed="false">
      <c r="A131" s="11"/>
      <c r="B131" s="11"/>
      <c r="C131" s="11"/>
      <c r="D131" s="11"/>
      <c r="E131" s="11"/>
      <c r="F131" s="11"/>
      <c r="G131" s="11"/>
      <c r="H131" s="11"/>
      <c r="I131" s="11"/>
      <c r="J131" s="11"/>
      <c r="K131" s="11"/>
      <c r="L131" s="11"/>
      <c r="M131" s="11"/>
      <c r="N131" s="11"/>
      <c r="O131" s="11"/>
      <c r="P131" s="11"/>
      <c r="Q131" s="11"/>
      <c r="R131" s="11"/>
      <c r="S131" s="11"/>
    </row>
    <row r="132" customFormat="false" ht="15" hidden="false" customHeight="false" outlineLevel="0" collapsed="false">
      <c r="A132" s="11"/>
      <c r="B132" s="11"/>
      <c r="C132" s="11"/>
      <c r="D132" s="11"/>
      <c r="E132" s="11"/>
      <c r="F132" s="11"/>
      <c r="G132" s="11"/>
      <c r="H132" s="11"/>
      <c r="I132" s="11"/>
      <c r="J132" s="11"/>
      <c r="K132" s="11"/>
      <c r="L132" s="11"/>
      <c r="M132" s="11"/>
      <c r="N132" s="11"/>
      <c r="O132" s="11"/>
      <c r="P132" s="11"/>
      <c r="Q132" s="11"/>
      <c r="R132" s="11"/>
      <c r="S132" s="11"/>
    </row>
    <row r="133" customFormat="false" ht="15" hidden="false" customHeight="false" outlineLevel="0" collapsed="false">
      <c r="A133" s="11"/>
      <c r="B133" s="11"/>
      <c r="C133" s="11"/>
      <c r="D133" s="11"/>
      <c r="E133" s="11"/>
      <c r="F133" s="11"/>
      <c r="G133" s="11"/>
      <c r="H133" s="11"/>
      <c r="I133" s="11"/>
      <c r="J133" s="11"/>
      <c r="K133" s="11"/>
      <c r="L133" s="11"/>
      <c r="M133" s="11"/>
      <c r="N133" s="11"/>
      <c r="O133" s="11"/>
      <c r="P133" s="11"/>
      <c r="Q133" s="11"/>
      <c r="R133" s="11"/>
      <c r="S133" s="11"/>
    </row>
    <row r="134" customFormat="false" ht="15" hidden="false" customHeight="false" outlineLevel="0" collapsed="false">
      <c r="A134" s="11"/>
      <c r="B134" s="11"/>
      <c r="C134" s="11"/>
      <c r="D134" s="11"/>
      <c r="E134" s="11"/>
      <c r="F134" s="11"/>
      <c r="G134" s="11"/>
      <c r="H134" s="11"/>
      <c r="I134" s="11"/>
      <c r="J134" s="11"/>
      <c r="K134" s="11"/>
      <c r="L134" s="11"/>
      <c r="M134" s="11"/>
      <c r="N134" s="11"/>
      <c r="O134" s="11"/>
      <c r="P134" s="11"/>
      <c r="Q134" s="11"/>
      <c r="R134" s="11"/>
      <c r="S134" s="11"/>
    </row>
    <row r="135" customFormat="false" ht="15" hidden="false" customHeight="false" outlineLevel="0" collapsed="false">
      <c r="A135" s="11"/>
      <c r="B135" s="11"/>
      <c r="C135" s="11"/>
      <c r="D135" s="11"/>
      <c r="E135" s="11"/>
      <c r="F135" s="11"/>
      <c r="G135" s="11"/>
      <c r="H135" s="11"/>
      <c r="I135" s="11"/>
      <c r="J135" s="11"/>
      <c r="K135" s="11"/>
      <c r="L135" s="11"/>
      <c r="M135" s="11"/>
      <c r="N135" s="11"/>
      <c r="O135" s="11"/>
      <c r="P135" s="11"/>
      <c r="Q135" s="11"/>
      <c r="R135" s="11"/>
      <c r="S135" s="11"/>
    </row>
    <row r="136" customFormat="false" ht="15" hidden="false" customHeight="false" outlineLevel="0" collapsed="false">
      <c r="A136" s="11"/>
      <c r="B136" s="11"/>
      <c r="C136" s="11"/>
      <c r="D136" s="11"/>
      <c r="E136" s="11"/>
      <c r="F136" s="11"/>
      <c r="G136" s="11"/>
      <c r="H136" s="11"/>
      <c r="I136" s="11"/>
      <c r="J136" s="11"/>
      <c r="K136" s="11"/>
      <c r="L136" s="11"/>
      <c r="M136" s="11"/>
      <c r="N136" s="11"/>
      <c r="O136" s="11"/>
      <c r="P136" s="11"/>
      <c r="Q136" s="11"/>
      <c r="R136" s="11"/>
      <c r="S136" s="11"/>
    </row>
    <row r="137" customFormat="false" ht="15" hidden="false" customHeight="false" outlineLevel="0" collapsed="false">
      <c r="A137" s="11"/>
      <c r="B137" s="11"/>
      <c r="C137" s="11"/>
      <c r="D137" s="11"/>
      <c r="E137" s="11"/>
      <c r="F137" s="11"/>
      <c r="G137" s="11"/>
      <c r="H137" s="11"/>
      <c r="I137" s="11"/>
      <c r="J137" s="11"/>
      <c r="K137" s="11"/>
      <c r="L137" s="11"/>
      <c r="M137" s="11"/>
      <c r="N137" s="11"/>
      <c r="O137" s="11"/>
      <c r="P137" s="11"/>
      <c r="Q137" s="11"/>
      <c r="R137" s="11"/>
      <c r="S137" s="11"/>
    </row>
    <row r="138" customFormat="false" ht="15" hidden="false" customHeight="false" outlineLevel="0" collapsed="false">
      <c r="A138" s="11"/>
      <c r="B138" s="11"/>
      <c r="C138" s="11"/>
      <c r="D138" s="11"/>
      <c r="E138" s="11"/>
      <c r="F138" s="11"/>
      <c r="G138" s="11"/>
      <c r="H138" s="11"/>
      <c r="I138" s="11"/>
      <c r="J138" s="11"/>
      <c r="K138" s="11"/>
      <c r="L138" s="11"/>
      <c r="M138" s="11"/>
      <c r="N138" s="11"/>
      <c r="O138" s="11"/>
      <c r="P138" s="11"/>
      <c r="Q138" s="11"/>
      <c r="R138" s="11"/>
      <c r="S138" s="11"/>
    </row>
    <row r="139" customFormat="false" ht="15" hidden="false" customHeight="false" outlineLevel="0" collapsed="false">
      <c r="A139" s="11"/>
      <c r="B139" s="11"/>
      <c r="C139" s="11"/>
      <c r="D139" s="11"/>
      <c r="E139" s="11"/>
      <c r="F139" s="11"/>
      <c r="G139" s="11"/>
      <c r="H139" s="11"/>
      <c r="I139" s="11"/>
      <c r="J139" s="11"/>
      <c r="K139" s="11"/>
      <c r="L139" s="11"/>
      <c r="M139" s="11"/>
      <c r="N139" s="11"/>
      <c r="O139" s="11"/>
      <c r="P139" s="11"/>
      <c r="Q139" s="11"/>
      <c r="R139" s="11"/>
      <c r="S139" s="11"/>
    </row>
  </sheetData>
  <mergeCells count="7">
    <mergeCell ref="A1:D1"/>
    <mergeCell ref="F1:I1"/>
    <mergeCell ref="K1:M1"/>
    <mergeCell ref="O1:R1"/>
    <mergeCell ref="A30:D30"/>
    <mergeCell ref="F30:J30"/>
    <mergeCell ref="A45:E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C518"/>
    <pageSetUpPr fitToPage="false"/>
  </sheetPr>
  <dimension ref="A1:O2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22"/>
    <col collapsed="false" customWidth="true" hidden="false" outlineLevel="0" max="3" min="3" style="1" width="12"/>
    <col collapsed="false" customWidth="true" hidden="false" outlineLevel="0" max="4" min="4" style="1" width="18"/>
    <col collapsed="false" customWidth="true" hidden="false" outlineLevel="0" max="5" min="5" style="1" width="13"/>
    <col collapsed="false" customWidth="true" hidden="false" outlineLevel="0" max="7" min="6" style="1" width="14"/>
    <col collapsed="false" customWidth="true" hidden="false" outlineLevel="0" max="8" min="8" style="1" width="12"/>
    <col collapsed="false" customWidth="true" hidden="false" outlineLevel="0" max="9" min="9" style="1" width="10"/>
    <col collapsed="false" customWidth="true" hidden="false" outlineLevel="0" max="10" min="10" style="1" width="12"/>
    <col collapsed="false" customWidth="true" hidden="false" outlineLevel="0" max="11" min="11" style="1" width="22"/>
    <col collapsed="false" customWidth="true" hidden="false" outlineLevel="0" max="12" min="12" style="1" width="12"/>
    <col collapsed="false" customWidth="true" hidden="false" outlineLevel="0" max="13" min="13" style="1" width="14"/>
    <col collapsed="false" customWidth="true" hidden="false" outlineLevel="0" max="14" min="14" style="1" width="10"/>
    <col collapsed="false" customWidth="true" hidden="true" outlineLevel="0" max="15" min="15" style="1" width="13"/>
  </cols>
  <sheetData>
    <row r="1" customFormat="false" ht="16.15" hidden="false" customHeight="false" outlineLevel="0" collapsed="false">
      <c r="A1" s="21" t="s">
        <v>91</v>
      </c>
      <c r="B1" s="21"/>
      <c r="C1" s="21"/>
      <c r="D1" s="21"/>
      <c r="E1" s="21"/>
      <c r="F1" s="21"/>
      <c r="G1" s="21"/>
      <c r="H1" s="21"/>
      <c r="I1" s="21"/>
      <c r="J1" s="21"/>
      <c r="K1" s="21"/>
      <c r="L1" s="21"/>
      <c r="M1" s="21"/>
      <c r="N1" s="21"/>
    </row>
    <row r="2" customFormat="false" ht="15" hidden="false" customHeight="false" outlineLevel="0" collapsed="false">
      <c r="A2" s="22" t="s">
        <v>92</v>
      </c>
      <c r="B2" s="22"/>
      <c r="C2" s="22"/>
      <c r="D2" s="22"/>
      <c r="E2" s="22"/>
      <c r="F2" s="22"/>
      <c r="G2" s="22"/>
      <c r="H2" s="22"/>
      <c r="I2" s="22"/>
      <c r="J2" s="22"/>
      <c r="K2" s="22"/>
      <c r="L2" s="22"/>
      <c r="M2" s="22"/>
      <c r="N2" s="22"/>
    </row>
    <row r="4" customFormat="false" ht="15" hidden="false" customHeight="false" outlineLevel="0" collapsed="false">
      <c r="A4" s="23" t="s">
        <v>93</v>
      </c>
      <c r="B4" s="23" t="s">
        <v>74</v>
      </c>
      <c r="C4" s="23" t="s">
        <v>15</v>
      </c>
      <c r="D4" s="23" t="s">
        <v>18</v>
      </c>
      <c r="E4" s="23" t="s">
        <v>11</v>
      </c>
      <c r="F4" s="23" t="s">
        <v>94</v>
      </c>
      <c r="G4" s="23" t="s">
        <v>75</v>
      </c>
      <c r="H4" s="23" t="s">
        <v>95</v>
      </c>
      <c r="I4" s="23" t="s">
        <v>96</v>
      </c>
      <c r="J4" s="23" t="s">
        <v>17</v>
      </c>
      <c r="K4" s="23" t="s">
        <v>97</v>
      </c>
      <c r="L4" s="23" t="s">
        <v>98</v>
      </c>
      <c r="M4" s="23" t="s">
        <v>99</v>
      </c>
      <c r="N4" s="23" t="s">
        <v>100</v>
      </c>
      <c r="O4" s="24" t="s">
        <v>101</v>
      </c>
    </row>
    <row r="5" customFormat="false" ht="15" hidden="false" customHeight="false" outlineLevel="0" collapsed="false">
      <c r="A5" s="25" t="n">
        <v>1</v>
      </c>
      <c r="B5" s="25" t="s">
        <v>102</v>
      </c>
      <c r="C5" s="25" t="s">
        <v>50</v>
      </c>
      <c r="D5" s="25" t="s">
        <v>64</v>
      </c>
      <c r="E5" s="25" t="n">
        <v>2000</v>
      </c>
      <c r="F5" s="26" t="n">
        <v>103880000</v>
      </c>
      <c r="G5" s="26" t="n">
        <v>387550000</v>
      </c>
      <c r="H5" s="27" t="n">
        <v>5.6</v>
      </c>
      <c r="I5" s="25" t="n">
        <v>153</v>
      </c>
      <c r="J5" s="25" t="s">
        <v>45</v>
      </c>
      <c r="K5" s="25" t="s">
        <v>103</v>
      </c>
      <c r="L5" s="25" t="s">
        <v>104</v>
      </c>
      <c r="M5" s="26" t="n">
        <v>283670000</v>
      </c>
      <c r="N5" s="28" t="n">
        <v>273.1</v>
      </c>
      <c r="O5" s="29" t="n">
        <f aca="false">G5+ROW()/10000000</f>
        <v>387550000.000001</v>
      </c>
    </row>
    <row r="6" customFormat="false" ht="15" hidden="false" customHeight="false" outlineLevel="0" collapsed="false">
      <c r="A6" s="25" t="n">
        <v>2</v>
      </c>
      <c r="B6" s="25" t="s">
        <v>105</v>
      </c>
      <c r="C6" s="25" t="s">
        <v>44</v>
      </c>
      <c r="D6" s="25" t="s">
        <v>31</v>
      </c>
      <c r="E6" s="25" t="n">
        <v>2000</v>
      </c>
      <c r="F6" s="26" t="n">
        <v>26788000</v>
      </c>
      <c r="G6" s="26" t="n">
        <v>67535000</v>
      </c>
      <c r="H6" s="27" t="n">
        <v>5.7</v>
      </c>
      <c r="I6" s="25" t="n">
        <v>116</v>
      </c>
      <c r="J6" s="25" t="s">
        <v>33</v>
      </c>
      <c r="K6" s="25" t="s">
        <v>106</v>
      </c>
      <c r="L6" s="25" t="s">
        <v>107</v>
      </c>
      <c r="M6" s="26" t="n">
        <v>40747000</v>
      </c>
      <c r="N6" s="28" t="n">
        <v>152.1</v>
      </c>
      <c r="O6" s="29" t="n">
        <f aca="false">G6+ROW()/10000000</f>
        <v>67535000.0000006</v>
      </c>
    </row>
    <row r="7" customFormat="false" ht="15" hidden="false" customHeight="false" outlineLevel="0" collapsed="false">
      <c r="A7" s="25" t="n">
        <v>3</v>
      </c>
      <c r="B7" s="25" t="s">
        <v>108</v>
      </c>
      <c r="C7" s="25" t="s">
        <v>23</v>
      </c>
      <c r="D7" s="25" t="s">
        <v>43</v>
      </c>
      <c r="E7" s="25" t="n">
        <v>2000</v>
      </c>
      <c r="F7" s="26" t="n">
        <v>1000000</v>
      </c>
      <c r="G7" s="26" t="n">
        <v>5281000</v>
      </c>
      <c r="H7" s="27" t="n">
        <v>7.9</v>
      </c>
      <c r="I7" s="25" t="n">
        <v>116</v>
      </c>
      <c r="J7" s="25" t="s">
        <v>36</v>
      </c>
      <c r="K7" s="25" t="s">
        <v>103</v>
      </c>
      <c r="L7" s="25" t="s">
        <v>109</v>
      </c>
      <c r="M7" s="26" t="n">
        <v>4281000</v>
      </c>
      <c r="N7" s="28" t="n">
        <v>428.1</v>
      </c>
      <c r="O7" s="29" t="n">
        <f aca="false">G7+ROW()/10000000</f>
        <v>5281000.0000007</v>
      </c>
    </row>
    <row r="8" customFormat="false" ht="15" hidden="false" customHeight="false" outlineLevel="0" collapsed="false">
      <c r="A8" s="25" t="n">
        <v>4</v>
      </c>
      <c r="B8" s="25" t="s">
        <v>110</v>
      </c>
      <c r="C8" s="25" t="s">
        <v>35</v>
      </c>
      <c r="D8" s="25" t="s">
        <v>28</v>
      </c>
      <c r="E8" s="25" t="n">
        <v>2000</v>
      </c>
      <c r="F8" s="26" t="n">
        <v>6927000</v>
      </c>
      <c r="G8" s="26" t="n">
        <v>22745000</v>
      </c>
      <c r="H8" s="27" t="n">
        <v>7.4</v>
      </c>
      <c r="I8" s="25" t="n">
        <v>149</v>
      </c>
      <c r="J8" s="25" t="s">
        <v>33</v>
      </c>
      <c r="K8" s="25" t="s">
        <v>111</v>
      </c>
      <c r="L8" s="25" t="s">
        <v>109</v>
      </c>
      <c r="M8" s="26" t="n">
        <v>15818000</v>
      </c>
      <c r="N8" s="28" t="n">
        <v>228.4</v>
      </c>
      <c r="O8" s="29" t="n">
        <f aca="false">G8+ROW()/10000000</f>
        <v>22745000.0000008</v>
      </c>
    </row>
    <row r="9" customFormat="false" ht="15" hidden="false" customHeight="false" outlineLevel="0" collapsed="false">
      <c r="A9" s="25" t="n">
        <v>5</v>
      </c>
      <c r="B9" s="25" t="s">
        <v>112</v>
      </c>
      <c r="C9" s="25" t="s">
        <v>50</v>
      </c>
      <c r="D9" s="25" t="s">
        <v>69</v>
      </c>
      <c r="E9" s="25" t="n">
        <v>2000</v>
      </c>
      <c r="F9" s="26" t="n">
        <v>170618000</v>
      </c>
      <c r="G9" s="26" t="n">
        <v>557195000</v>
      </c>
      <c r="H9" s="27" t="n">
        <v>5.1</v>
      </c>
      <c r="I9" s="25" t="n">
        <v>130</v>
      </c>
      <c r="J9" s="25" t="s">
        <v>21</v>
      </c>
      <c r="K9" s="25" t="s">
        <v>113</v>
      </c>
      <c r="L9" s="25" t="s">
        <v>114</v>
      </c>
      <c r="M9" s="26" t="n">
        <v>386577000</v>
      </c>
      <c r="N9" s="28" t="n">
        <v>226.6</v>
      </c>
      <c r="O9" s="29" t="n">
        <f aca="false">G9+ROW()/10000000</f>
        <v>557195000.000001</v>
      </c>
    </row>
    <row r="10" customFormat="false" ht="15" hidden="false" customHeight="false" outlineLevel="0" collapsed="false">
      <c r="A10" s="25" t="n">
        <v>6</v>
      </c>
      <c r="B10" s="25" t="s">
        <v>115</v>
      </c>
      <c r="C10" s="25" t="s">
        <v>50</v>
      </c>
      <c r="D10" s="25" t="s">
        <v>51</v>
      </c>
      <c r="E10" s="25" t="n">
        <v>2000</v>
      </c>
      <c r="F10" s="26" t="n">
        <v>108788500</v>
      </c>
      <c r="G10" s="26" t="n">
        <v>57272000</v>
      </c>
      <c r="H10" s="27" t="n">
        <v>7.1</v>
      </c>
      <c r="I10" s="25" t="n">
        <v>122</v>
      </c>
      <c r="J10" s="25" t="s">
        <v>36</v>
      </c>
      <c r="K10" s="25" t="s">
        <v>116</v>
      </c>
      <c r="L10" s="25" t="s">
        <v>107</v>
      </c>
      <c r="M10" s="26" t="n">
        <v>-51516500</v>
      </c>
      <c r="N10" s="28" t="n">
        <v>-47.4</v>
      </c>
      <c r="O10" s="29" t="n">
        <f aca="false">G10+ROW()/10000000</f>
        <v>57272000.000001</v>
      </c>
    </row>
    <row r="11" customFormat="false" ht="15" hidden="false" customHeight="false" outlineLevel="0" collapsed="false">
      <c r="A11" s="25" t="n">
        <v>7</v>
      </c>
      <c r="B11" s="25" t="s">
        <v>115</v>
      </c>
      <c r="C11" s="25" t="s">
        <v>50</v>
      </c>
      <c r="D11" s="25" t="s">
        <v>55</v>
      </c>
      <c r="E11" s="25" t="n">
        <v>2000</v>
      </c>
      <c r="F11" s="26" t="n">
        <v>44893000</v>
      </c>
      <c r="G11" s="26" t="n">
        <v>57272000</v>
      </c>
      <c r="H11" s="27" t="n">
        <v>7.1</v>
      </c>
      <c r="I11" s="25" t="n">
        <v>122</v>
      </c>
      <c r="J11" s="25" t="s">
        <v>36</v>
      </c>
      <c r="K11" s="25" t="s">
        <v>116</v>
      </c>
      <c r="L11" s="25" t="s">
        <v>107</v>
      </c>
      <c r="M11" s="26" t="n">
        <v>12379000</v>
      </c>
      <c r="N11" s="28" t="n">
        <v>27.6</v>
      </c>
      <c r="O11" s="29" t="n">
        <f aca="false">G11+ROW()/10000000</f>
        <v>57272000.0000011</v>
      </c>
    </row>
    <row r="12" customFormat="false" ht="15" hidden="false" customHeight="false" outlineLevel="0" collapsed="false">
      <c r="A12" s="25" t="n">
        <v>8</v>
      </c>
      <c r="B12" s="25" t="s">
        <v>117</v>
      </c>
      <c r="C12" s="25" t="s">
        <v>44</v>
      </c>
      <c r="D12" s="25" t="s">
        <v>43</v>
      </c>
      <c r="E12" s="25" t="n">
        <v>2000</v>
      </c>
      <c r="F12" s="26" t="n">
        <v>15078000</v>
      </c>
      <c r="G12" s="26" t="n">
        <v>102587000</v>
      </c>
      <c r="H12" s="27" t="n">
        <v>6.2</v>
      </c>
      <c r="I12" s="25" t="n">
        <v>166</v>
      </c>
      <c r="J12" s="25" t="s">
        <v>27</v>
      </c>
      <c r="K12" s="25" t="s">
        <v>118</v>
      </c>
      <c r="L12" s="25" t="s">
        <v>119</v>
      </c>
      <c r="M12" s="26" t="n">
        <v>87509000</v>
      </c>
      <c r="N12" s="28" t="n">
        <v>580.4</v>
      </c>
      <c r="O12" s="29" t="n">
        <f aca="false">G12+ROW()/10000000</f>
        <v>102587000.000001</v>
      </c>
    </row>
    <row r="13" customFormat="false" ht="15" hidden="false" customHeight="false" outlineLevel="0" collapsed="false">
      <c r="A13" s="25" t="n">
        <v>9</v>
      </c>
      <c r="B13" s="25" t="s">
        <v>120</v>
      </c>
      <c r="C13" s="25" t="s">
        <v>41</v>
      </c>
      <c r="D13" s="25" t="s">
        <v>34</v>
      </c>
      <c r="E13" s="25" t="n">
        <v>2000</v>
      </c>
      <c r="F13" s="26" t="n">
        <v>116909000</v>
      </c>
      <c r="G13" s="26" t="n">
        <v>357549000</v>
      </c>
      <c r="H13" s="27" t="n">
        <v>9.5</v>
      </c>
      <c r="I13" s="25" t="n">
        <v>134</v>
      </c>
      <c r="J13" s="25" t="s">
        <v>39</v>
      </c>
      <c r="K13" s="25" t="s">
        <v>121</v>
      </c>
      <c r="L13" s="25" t="s">
        <v>122</v>
      </c>
      <c r="M13" s="26" t="n">
        <v>240640000</v>
      </c>
      <c r="N13" s="28" t="n">
        <v>205.8</v>
      </c>
      <c r="O13" s="29" t="n">
        <f aca="false">G13+ROW()/10000000</f>
        <v>357549000.000001</v>
      </c>
    </row>
    <row r="14" customFormat="false" ht="15" hidden="false" customHeight="false" outlineLevel="0" collapsed="false">
      <c r="A14" s="25" t="n">
        <v>10</v>
      </c>
      <c r="B14" s="25" t="s">
        <v>123</v>
      </c>
      <c r="C14" s="25" t="s">
        <v>23</v>
      </c>
      <c r="D14" s="25" t="s">
        <v>57</v>
      </c>
      <c r="E14" s="25" t="n">
        <v>2000</v>
      </c>
      <c r="F14" s="26" t="n">
        <v>94554000</v>
      </c>
      <c r="G14" s="26" t="n">
        <v>150397000</v>
      </c>
      <c r="H14" s="27" t="n">
        <v>6.3</v>
      </c>
      <c r="I14" s="25" t="n">
        <v>102</v>
      </c>
      <c r="J14" s="25" t="s">
        <v>45</v>
      </c>
      <c r="K14" s="25" t="s">
        <v>113</v>
      </c>
      <c r="L14" s="25" t="s">
        <v>107</v>
      </c>
      <c r="M14" s="26" t="n">
        <v>55843000</v>
      </c>
      <c r="N14" s="28" t="n">
        <v>59.1</v>
      </c>
      <c r="O14" s="29" t="n">
        <f aca="false">G14+ROW()/10000000</f>
        <v>150397000.000001</v>
      </c>
    </row>
    <row r="15" customFormat="false" ht="15" hidden="false" customHeight="false" outlineLevel="0" collapsed="false">
      <c r="A15" s="25" t="n">
        <v>11</v>
      </c>
      <c r="B15" s="25" t="s">
        <v>124</v>
      </c>
      <c r="C15" s="25" t="s">
        <v>50</v>
      </c>
      <c r="D15" s="25" t="s">
        <v>34</v>
      </c>
      <c r="E15" s="25" t="n">
        <v>2001</v>
      </c>
      <c r="F15" s="26" t="n">
        <v>192586000</v>
      </c>
      <c r="G15" s="26" t="n">
        <v>128183000</v>
      </c>
      <c r="H15" s="27" t="n">
        <v>7.3</v>
      </c>
      <c r="I15" s="25" t="n">
        <v>79</v>
      </c>
      <c r="J15" s="25" t="s">
        <v>30</v>
      </c>
      <c r="K15" s="25" t="s">
        <v>125</v>
      </c>
      <c r="L15" s="25" t="s">
        <v>126</v>
      </c>
      <c r="M15" s="26" t="n">
        <v>-64403000</v>
      </c>
      <c r="N15" s="28" t="n">
        <v>-33.4</v>
      </c>
      <c r="O15" s="29" t="n">
        <f aca="false">G15+ROW()/10000000</f>
        <v>128183000.000002</v>
      </c>
    </row>
    <row r="16" customFormat="false" ht="15" hidden="false" customHeight="false" outlineLevel="0" collapsed="false">
      <c r="A16" s="25" t="n">
        <v>12</v>
      </c>
      <c r="B16" s="25" t="s">
        <v>127</v>
      </c>
      <c r="C16" s="25" t="s">
        <v>50</v>
      </c>
      <c r="D16" s="25" t="s">
        <v>40</v>
      </c>
      <c r="E16" s="25" t="n">
        <v>2001</v>
      </c>
      <c r="F16" s="26" t="n">
        <v>43385000</v>
      </c>
      <c r="G16" s="26" t="n">
        <v>79493000</v>
      </c>
      <c r="H16" s="27" t="n">
        <v>6.1</v>
      </c>
      <c r="I16" s="25" t="n">
        <v>95</v>
      </c>
      <c r="J16" s="25" t="s">
        <v>27</v>
      </c>
      <c r="K16" s="25" t="s">
        <v>125</v>
      </c>
      <c r="L16" s="25" t="s">
        <v>128</v>
      </c>
      <c r="M16" s="26" t="n">
        <v>36108000</v>
      </c>
      <c r="N16" s="28" t="n">
        <v>83.2</v>
      </c>
      <c r="O16" s="29" t="n">
        <f aca="false">G16+ROW()/10000000</f>
        <v>79493000.0000016</v>
      </c>
    </row>
    <row r="17" customFormat="false" ht="15" hidden="false" customHeight="false" outlineLevel="0" collapsed="false">
      <c r="A17" s="25" t="n">
        <v>13</v>
      </c>
      <c r="B17" s="25" t="s">
        <v>129</v>
      </c>
      <c r="C17" s="25" t="s">
        <v>44</v>
      </c>
      <c r="D17" s="25" t="s">
        <v>52</v>
      </c>
      <c r="E17" s="25" t="n">
        <v>2001</v>
      </c>
      <c r="F17" s="26" t="n">
        <v>8626000</v>
      </c>
      <c r="G17" s="26" t="n">
        <v>29557000</v>
      </c>
      <c r="H17" s="27" t="n">
        <v>5.5</v>
      </c>
      <c r="I17" s="25" t="n">
        <v>142</v>
      </c>
      <c r="J17" s="25" t="s">
        <v>45</v>
      </c>
      <c r="K17" s="25" t="s">
        <v>125</v>
      </c>
      <c r="L17" s="25" t="s">
        <v>122</v>
      </c>
      <c r="M17" s="26" t="n">
        <v>20931000</v>
      </c>
      <c r="N17" s="28" t="n">
        <v>242.7</v>
      </c>
      <c r="O17" s="29" t="n">
        <f aca="false">G17+ROW()/10000000</f>
        <v>29557000.0000017</v>
      </c>
    </row>
    <row r="18" customFormat="false" ht="15" hidden="false" customHeight="false" outlineLevel="0" collapsed="false">
      <c r="A18" s="25" t="n">
        <v>14</v>
      </c>
      <c r="B18" s="25" t="s">
        <v>130</v>
      </c>
      <c r="C18" s="25" t="s">
        <v>44</v>
      </c>
      <c r="D18" s="25" t="s">
        <v>55</v>
      </c>
      <c r="E18" s="25" t="n">
        <v>2001</v>
      </c>
      <c r="F18" s="26" t="n">
        <v>13682000</v>
      </c>
      <c r="G18" s="26" t="n">
        <v>43209000</v>
      </c>
      <c r="H18" s="27" t="n">
        <v>8.1</v>
      </c>
      <c r="I18" s="25" t="n">
        <v>101</v>
      </c>
      <c r="J18" s="25" t="s">
        <v>36</v>
      </c>
      <c r="K18" s="25" t="s">
        <v>106</v>
      </c>
      <c r="L18" s="25" t="s">
        <v>131</v>
      </c>
      <c r="M18" s="26" t="n">
        <v>29527000</v>
      </c>
      <c r="N18" s="28" t="n">
        <v>215.8</v>
      </c>
      <c r="O18" s="29" t="n">
        <f aca="false">G18+ROW()/10000000</f>
        <v>43209000.0000018</v>
      </c>
    </row>
    <row r="19" customFormat="false" ht="15" hidden="false" customHeight="false" outlineLevel="0" collapsed="false">
      <c r="A19" s="25" t="n">
        <v>15</v>
      </c>
      <c r="B19" s="25" t="s">
        <v>132</v>
      </c>
      <c r="C19" s="25" t="s">
        <v>26</v>
      </c>
      <c r="D19" s="25" t="s">
        <v>40</v>
      </c>
      <c r="E19" s="25" t="n">
        <v>2002</v>
      </c>
      <c r="F19" s="26" t="n">
        <v>23081000</v>
      </c>
      <c r="G19" s="26" t="n">
        <v>161780000</v>
      </c>
      <c r="H19" s="27" t="n">
        <v>7.2</v>
      </c>
      <c r="I19" s="25" t="n">
        <v>110</v>
      </c>
      <c r="J19" s="25" t="s">
        <v>27</v>
      </c>
      <c r="K19" s="25" t="s">
        <v>118</v>
      </c>
      <c r="L19" s="25" t="s">
        <v>131</v>
      </c>
      <c r="M19" s="26" t="n">
        <v>138699000</v>
      </c>
      <c r="N19" s="28" t="n">
        <v>600.9</v>
      </c>
      <c r="O19" s="29" t="n">
        <f aca="false">G19+ROW()/10000000</f>
        <v>161780000.000002</v>
      </c>
    </row>
    <row r="20" customFormat="false" ht="15" hidden="false" customHeight="false" outlineLevel="0" collapsed="false">
      <c r="A20" s="25" t="n">
        <v>16</v>
      </c>
      <c r="B20" s="25" t="s">
        <v>133</v>
      </c>
      <c r="C20" s="25" t="s">
        <v>44</v>
      </c>
      <c r="D20" s="25" t="s">
        <v>63</v>
      </c>
      <c r="E20" s="25" t="n">
        <v>2002</v>
      </c>
      <c r="F20" s="26" t="n">
        <v>5795000</v>
      </c>
      <c r="G20" s="26" t="n">
        <v>34863000</v>
      </c>
      <c r="H20" s="27" t="n">
        <v>6.9</v>
      </c>
      <c r="I20" s="25" t="n">
        <v>97</v>
      </c>
      <c r="J20" s="25" t="s">
        <v>24</v>
      </c>
      <c r="K20" s="25" t="s">
        <v>51</v>
      </c>
      <c r="L20" s="25" t="s">
        <v>114</v>
      </c>
      <c r="M20" s="26" t="n">
        <v>29068000</v>
      </c>
      <c r="N20" s="28" t="n">
        <v>501.6</v>
      </c>
      <c r="O20" s="29" t="n">
        <f aca="false">G20+ROW()/10000000</f>
        <v>34863000.000002</v>
      </c>
    </row>
    <row r="21" customFormat="false" ht="15" hidden="false" customHeight="false" outlineLevel="0" collapsed="false">
      <c r="A21" s="25" t="n">
        <v>17</v>
      </c>
      <c r="B21" s="25" t="s">
        <v>134</v>
      </c>
      <c r="C21" s="25" t="s">
        <v>44</v>
      </c>
      <c r="D21" s="25" t="s">
        <v>56</v>
      </c>
      <c r="E21" s="25" t="n">
        <v>2002</v>
      </c>
      <c r="F21" s="26" t="n">
        <v>16194000</v>
      </c>
      <c r="G21" s="26" t="n">
        <v>26167000</v>
      </c>
      <c r="H21" s="27" t="n">
        <v>6.6</v>
      </c>
      <c r="I21" s="25" t="n">
        <v>104</v>
      </c>
      <c r="J21" s="25" t="s">
        <v>39</v>
      </c>
      <c r="K21" s="25" t="s">
        <v>121</v>
      </c>
      <c r="L21" s="25" t="s">
        <v>114</v>
      </c>
      <c r="M21" s="26" t="n">
        <v>9973000</v>
      </c>
      <c r="N21" s="28" t="n">
        <v>61.6</v>
      </c>
      <c r="O21" s="29" t="n">
        <f aca="false">G21+ROW()/10000000</f>
        <v>26167000.0000021</v>
      </c>
    </row>
    <row r="22" customFormat="false" ht="15" hidden="false" customHeight="false" outlineLevel="0" collapsed="false">
      <c r="A22" s="25" t="n">
        <v>18</v>
      </c>
      <c r="B22" s="25" t="s">
        <v>135</v>
      </c>
      <c r="C22" s="25" t="s">
        <v>47</v>
      </c>
      <c r="D22" s="25" t="s">
        <v>65</v>
      </c>
      <c r="E22" s="25" t="n">
        <v>2002</v>
      </c>
      <c r="F22" s="26" t="n">
        <v>15862000</v>
      </c>
      <c r="G22" s="26" t="n">
        <v>104632000</v>
      </c>
      <c r="H22" s="27" t="n">
        <v>9</v>
      </c>
      <c r="I22" s="25" t="n">
        <v>104</v>
      </c>
      <c r="J22" s="25" t="s">
        <v>27</v>
      </c>
      <c r="K22" s="25" t="s">
        <v>121</v>
      </c>
      <c r="L22" s="25" t="s">
        <v>136</v>
      </c>
      <c r="M22" s="26" t="n">
        <v>88770000</v>
      </c>
      <c r="N22" s="28" t="n">
        <v>559.6</v>
      </c>
      <c r="O22" s="29" t="n">
        <f aca="false">G22+ROW()/10000000</f>
        <v>104632000.000002</v>
      </c>
    </row>
    <row r="23" customFormat="false" ht="15" hidden="false" customHeight="false" outlineLevel="0" collapsed="false">
      <c r="A23" s="25" t="n">
        <v>19</v>
      </c>
      <c r="B23" s="25" t="s">
        <v>137</v>
      </c>
      <c r="C23" s="25" t="s">
        <v>47</v>
      </c>
      <c r="D23" s="25" t="s">
        <v>65</v>
      </c>
      <c r="E23" s="25" t="n">
        <v>2002</v>
      </c>
      <c r="F23" s="26" t="n">
        <v>11897000</v>
      </c>
      <c r="G23" s="26" t="n">
        <v>36463000</v>
      </c>
      <c r="H23" s="27" t="n">
        <v>5.5</v>
      </c>
      <c r="I23" s="25" t="n">
        <v>83</v>
      </c>
      <c r="J23" s="25" t="s">
        <v>30</v>
      </c>
      <c r="K23" s="25" t="s">
        <v>116</v>
      </c>
      <c r="L23" s="25" t="s">
        <v>128</v>
      </c>
      <c r="M23" s="26" t="n">
        <v>24566000</v>
      </c>
      <c r="N23" s="28" t="n">
        <v>206.5</v>
      </c>
      <c r="O23" s="29" t="n">
        <f aca="false">G23+ROW()/10000000</f>
        <v>36463000.0000023</v>
      </c>
    </row>
    <row r="24" customFormat="false" ht="15" hidden="false" customHeight="false" outlineLevel="0" collapsed="false">
      <c r="A24" s="25" t="n">
        <v>20</v>
      </c>
      <c r="B24" s="25" t="s">
        <v>138</v>
      </c>
      <c r="C24" s="25" t="s">
        <v>53</v>
      </c>
      <c r="D24" s="25" t="s">
        <v>34</v>
      </c>
      <c r="E24" s="25" t="n">
        <v>2002</v>
      </c>
      <c r="F24" s="26" t="n">
        <v>53207000</v>
      </c>
      <c r="G24" s="26" t="n">
        <v>231283000</v>
      </c>
      <c r="H24" s="27" t="n">
        <v>7.9</v>
      </c>
      <c r="I24" s="25" t="n">
        <v>112</v>
      </c>
      <c r="J24" s="25" t="s">
        <v>42</v>
      </c>
      <c r="K24" s="25" t="s">
        <v>139</v>
      </c>
      <c r="L24" s="25" t="s">
        <v>51</v>
      </c>
      <c r="M24" s="26" t="n">
        <v>178076000</v>
      </c>
      <c r="N24" s="28" t="n">
        <v>334.7</v>
      </c>
      <c r="O24" s="29" t="n">
        <f aca="false">G24+ROW()/10000000</f>
        <v>231283000.000002</v>
      </c>
    </row>
    <row r="25" customFormat="false" ht="15" hidden="false" customHeight="false" outlineLevel="0" collapsed="false">
      <c r="A25" s="25" t="n">
        <v>21</v>
      </c>
      <c r="B25" s="25" t="s">
        <v>140</v>
      </c>
      <c r="C25" s="25" t="s">
        <v>35</v>
      </c>
      <c r="D25" s="25" t="s">
        <v>63</v>
      </c>
      <c r="E25" s="25" t="n">
        <v>2002</v>
      </c>
      <c r="F25" s="26" t="n">
        <v>5543000</v>
      </c>
      <c r="G25" s="26" t="n">
        <v>5578000</v>
      </c>
      <c r="H25" s="27" t="n">
        <v>5.3</v>
      </c>
      <c r="I25" s="25" t="n">
        <v>133</v>
      </c>
      <c r="J25" s="25" t="s">
        <v>33</v>
      </c>
      <c r="K25" s="25" t="s">
        <v>106</v>
      </c>
      <c r="L25" s="25" t="s">
        <v>141</v>
      </c>
      <c r="M25" s="26" t="n">
        <v>35000</v>
      </c>
      <c r="N25" s="28" t="n">
        <v>0.6</v>
      </c>
      <c r="O25" s="29" t="n">
        <f aca="false">G25+ROW()/10000000</f>
        <v>5578000.0000025</v>
      </c>
    </row>
    <row r="26" customFormat="false" ht="15" hidden="false" customHeight="false" outlineLevel="0" collapsed="false">
      <c r="A26" s="25" t="n">
        <v>22</v>
      </c>
      <c r="B26" s="25" t="s">
        <v>142</v>
      </c>
      <c r="C26" s="25" t="s">
        <v>41</v>
      </c>
      <c r="D26" s="25" t="s">
        <v>49</v>
      </c>
      <c r="E26" s="25" t="n">
        <v>2002</v>
      </c>
      <c r="F26" s="26" t="n">
        <v>139376000</v>
      </c>
      <c r="G26" s="26" t="n">
        <v>409636000</v>
      </c>
      <c r="H26" s="27" t="n">
        <v>6.9</v>
      </c>
      <c r="I26" s="25" t="n">
        <v>103</v>
      </c>
      <c r="J26" s="25" t="s">
        <v>30</v>
      </c>
      <c r="K26" s="25" t="s">
        <v>121</v>
      </c>
      <c r="L26" s="25" t="s">
        <v>126</v>
      </c>
      <c r="M26" s="26" t="n">
        <v>270260000</v>
      </c>
      <c r="N26" s="28" t="n">
        <v>193.9</v>
      </c>
      <c r="O26" s="29" t="n">
        <f aca="false">G26+ROW()/10000000</f>
        <v>409636000.000003</v>
      </c>
    </row>
    <row r="27" customFormat="false" ht="15" hidden="false" customHeight="false" outlineLevel="0" collapsed="false">
      <c r="A27" s="25" t="n">
        <v>23</v>
      </c>
      <c r="B27" s="25" t="s">
        <v>143</v>
      </c>
      <c r="C27" s="25" t="s">
        <v>20</v>
      </c>
      <c r="D27" s="25" t="s">
        <v>61</v>
      </c>
      <c r="E27" s="25" t="n">
        <v>2002</v>
      </c>
      <c r="F27" s="26" t="n">
        <v>99356000</v>
      </c>
      <c r="G27" s="26" t="n">
        <v>422413000</v>
      </c>
      <c r="H27" s="27" t="n">
        <v>5.1</v>
      </c>
      <c r="I27" s="25" t="n">
        <v>85</v>
      </c>
      <c r="J27" s="25" t="s">
        <v>30</v>
      </c>
      <c r="K27" s="25" t="s">
        <v>144</v>
      </c>
      <c r="L27" s="25" t="s">
        <v>136</v>
      </c>
      <c r="M27" s="26" t="n">
        <v>323057000</v>
      </c>
      <c r="N27" s="28" t="n">
        <v>325.2</v>
      </c>
      <c r="O27" s="29" t="n">
        <f aca="false">G27+ROW()/10000000</f>
        <v>422413000.000003</v>
      </c>
    </row>
    <row r="28" customFormat="false" ht="15" hidden="false" customHeight="false" outlineLevel="0" collapsed="false">
      <c r="A28" s="25" t="n">
        <v>24</v>
      </c>
      <c r="B28" s="25" t="s">
        <v>145</v>
      </c>
      <c r="C28" s="25" t="s">
        <v>50</v>
      </c>
      <c r="D28" s="25" t="s">
        <v>64</v>
      </c>
      <c r="E28" s="25" t="n">
        <v>2002</v>
      </c>
      <c r="F28" s="26" t="n">
        <v>134306000</v>
      </c>
      <c r="G28" s="26" t="n">
        <v>295352000</v>
      </c>
      <c r="H28" s="27" t="n">
        <v>6.5</v>
      </c>
      <c r="I28" s="25" t="n">
        <v>91</v>
      </c>
      <c r="J28" s="25" t="s">
        <v>39</v>
      </c>
      <c r="K28" s="25" t="s">
        <v>103</v>
      </c>
      <c r="L28" s="25" t="s">
        <v>146</v>
      </c>
      <c r="M28" s="26" t="n">
        <v>161046000</v>
      </c>
      <c r="N28" s="28" t="n">
        <v>119.9</v>
      </c>
      <c r="O28" s="29" t="n">
        <f aca="false">G28+ROW()/10000000</f>
        <v>295352000.000003</v>
      </c>
    </row>
    <row r="29" customFormat="false" ht="15" hidden="false" customHeight="false" outlineLevel="0" collapsed="false">
      <c r="A29" s="25" t="n">
        <v>25</v>
      </c>
      <c r="B29" s="25" t="s">
        <v>147</v>
      </c>
      <c r="C29" s="25" t="s">
        <v>50</v>
      </c>
      <c r="D29" s="25" t="s">
        <v>37</v>
      </c>
      <c r="E29" s="25" t="n">
        <v>2002</v>
      </c>
      <c r="F29" s="26" t="n">
        <v>125296000</v>
      </c>
      <c r="G29" s="26" t="n">
        <v>608788000</v>
      </c>
      <c r="H29" s="27" t="n">
        <v>7.2</v>
      </c>
      <c r="I29" s="25" t="n">
        <v>80</v>
      </c>
      <c r="J29" s="25" t="s">
        <v>27</v>
      </c>
      <c r="K29" s="25" t="s">
        <v>148</v>
      </c>
      <c r="L29" s="25" t="s">
        <v>114</v>
      </c>
      <c r="M29" s="26" t="n">
        <v>483492000</v>
      </c>
      <c r="N29" s="28" t="n">
        <v>385.9</v>
      </c>
      <c r="O29" s="29" t="n">
        <f aca="false">G29+ROW()/10000000</f>
        <v>608788000.000003</v>
      </c>
    </row>
    <row r="30" customFormat="false" ht="15" hidden="false" customHeight="false" outlineLevel="0" collapsed="false">
      <c r="A30" s="25" t="n">
        <v>26</v>
      </c>
      <c r="B30" s="25" t="s">
        <v>149</v>
      </c>
      <c r="C30" s="25" t="s">
        <v>20</v>
      </c>
      <c r="D30" s="25" t="s">
        <v>60</v>
      </c>
      <c r="E30" s="25" t="n">
        <v>2002</v>
      </c>
      <c r="F30" s="26" t="n">
        <v>81570000</v>
      </c>
      <c r="G30" s="26" t="n">
        <v>170302000</v>
      </c>
      <c r="H30" s="27" t="n">
        <v>8.2</v>
      </c>
      <c r="I30" s="25" t="n">
        <v>127</v>
      </c>
      <c r="J30" s="25" t="s">
        <v>36</v>
      </c>
      <c r="K30" s="25" t="s">
        <v>125</v>
      </c>
      <c r="L30" s="25" t="s">
        <v>114</v>
      </c>
      <c r="M30" s="26" t="n">
        <v>88732000</v>
      </c>
      <c r="N30" s="28" t="n">
        <v>108.8</v>
      </c>
      <c r="O30" s="29" t="n">
        <f aca="false">G30+ROW()/10000000</f>
        <v>170302000.000003</v>
      </c>
    </row>
    <row r="31" customFormat="false" ht="15" hidden="false" customHeight="false" outlineLevel="0" collapsed="false">
      <c r="A31" s="25" t="n">
        <v>27</v>
      </c>
      <c r="B31" s="25" t="s">
        <v>150</v>
      </c>
      <c r="C31" s="25" t="s">
        <v>23</v>
      </c>
      <c r="D31" s="25" t="s">
        <v>31</v>
      </c>
      <c r="E31" s="25" t="n">
        <v>2002</v>
      </c>
      <c r="F31" s="26" t="n">
        <v>67401000</v>
      </c>
      <c r="G31" s="26" t="n">
        <v>193895000</v>
      </c>
      <c r="H31" s="27" t="n">
        <v>6.5</v>
      </c>
      <c r="I31" s="25" t="n">
        <v>135</v>
      </c>
      <c r="J31" s="25" t="s">
        <v>33</v>
      </c>
      <c r="K31" s="25" t="s">
        <v>118</v>
      </c>
      <c r="L31" s="25" t="s">
        <v>136</v>
      </c>
      <c r="M31" s="26" t="n">
        <v>126494000</v>
      </c>
      <c r="N31" s="28" t="n">
        <v>187.7</v>
      </c>
      <c r="O31" s="29" t="n">
        <f aca="false">G31+ROW()/10000000</f>
        <v>193895000.000003</v>
      </c>
    </row>
    <row r="32" customFormat="false" ht="15" hidden="false" customHeight="false" outlineLevel="0" collapsed="false">
      <c r="A32" s="25" t="n">
        <v>28</v>
      </c>
      <c r="B32" s="25" t="s">
        <v>151</v>
      </c>
      <c r="C32" s="25" t="s">
        <v>41</v>
      </c>
      <c r="D32" s="25" t="s">
        <v>34</v>
      </c>
      <c r="E32" s="25" t="n">
        <v>2002</v>
      </c>
      <c r="F32" s="26" t="n">
        <v>105148000</v>
      </c>
      <c r="G32" s="26" t="n">
        <v>482080000</v>
      </c>
      <c r="H32" s="27" t="n">
        <v>6.6</v>
      </c>
      <c r="I32" s="25" t="n">
        <v>133</v>
      </c>
      <c r="J32" s="25" t="s">
        <v>30</v>
      </c>
      <c r="K32" s="25" t="s">
        <v>152</v>
      </c>
      <c r="L32" s="25" t="s">
        <v>128</v>
      </c>
      <c r="M32" s="26" t="n">
        <v>376932000</v>
      </c>
      <c r="N32" s="28" t="n">
        <v>358.5</v>
      </c>
      <c r="O32" s="29" t="n">
        <f aca="false">G32+ROW()/10000000</f>
        <v>482080000.000003</v>
      </c>
    </row>
    <row r="33" customFormat="false" ht="15" hidden="false" customHeight="false" outlineLevel="0" collapsed="false">
      <c r="A33" s="25" t="n">
        <v>29</v>
      </c>
      <c r="B33" s="25" t="s">
        <v>153</v>
      </c>
      <c r="C33" s="25" t="s">
        <v>53</v>
      </c>
      <c r="D33" s="25" t="s">
        <v>62</v>
      </c>
      <c r="E33" s="25" t="n">
        <v>2002</v>
      </c>
      <c r="F33" s="26" t="n">
        <v>12590000</v>
      </c>
      <c r="G33" s="26" t="n">
        <v>79886000</v>
      </c>
      <c r="H33" s="27" t="n">
        <v>6.4</v>
      </c>
      <c r="I33" s="25" t="n">
        <v>136</v>
      </c>
      <c r="J33" s="25" t="s">
        <v>45</v>
      </c>
      <c r="K33" s="25" t="s">
        <v>154</v>
      </c>
      <c r="L33" s="25" t="s">
        <v>136</v>
      </c>
      <c r="M33" s="26" t="n">
        <v>67296000</v>
      </c>
      <c r="N33" s="28" t="n">
        <v>534.5</v>
      </c>
      <c r="O33" s="29" t="n">
        <f aca="false">G33+ROW()/10000000</f>
        <v>79886000.0000033</v>
      </c>
    </row>
    <row r="34" customFormat="false" ht="15" hidden="false" customHeight="false" outlineLevel="0" collapsed="false">
      <c r="A34" s="25" t="n">
        <v>30</v>
      </c>
      <c r="B34" s="25" t="s">
        <v>155</v>
      </c>
      <c r="C34" s="25" t="s">
        <v>29</v>
      </c>
      <c r="D34" s="25" t="s">
        <v>69</v>
      </c>
      <c r="E34" s="25" t="n">
        <v>2002</v>
      </c>
      <c r="F34" s="26" t="n">
        <v>36212000</v>
      </c>
      <c r="G34" s="26" t="n">
        <v>47598500</v>
      </c>
      <c r="H34" s="27" t="n">
        <v>6.7</v>
      </c>
      <c r="I34" s="25" t="n">
        <v>96</v>
      </c>
      <c r="J34" s="25" t="s">
        <v>39</v>
      </c>
      <c r="K34" s="25" t="s">
        <v>106</v>
      </c>
      <c r="L34" s="25" t="s">
        <v>119</v>
      </c>
      <c r="M34" s="26" t="n">
        <v>11386500</v>
      </c>
      <c r="N34" s="28" t="n">
        <v>31.4</v>
      </c>
      <c r="O34" s="29" t="n">
        <f aca="false">G34+ROW()/10000000</f>
        <v>47598500.0000034</v>
      </c>
    </row>
    <row r="35" customFormat="false" ht="15" hidden="false" customHeight="false" outlineLevel="0" collapsed="false">
      <c r="A35" s="25" t="n">
        <v>31</v>
      </c>
      <c r="B35" s="25" t="s">
        <v>156</v>
      </c>
      <c r="C35" s="25" t="s">
        <v>44</v>
      </c>
      <c r="D35" s="25" t="s">
        <v>62</v>
      </c>
      <c r="E35" s="25" t="n">
        <v>2003</v>
      </c>
      <c r="F35" s="26" t="n">
        <v>22207000</v>
      </c>
      <c r="G35" s="26" t="n">
        <v>41049000</v>
      </c>
      <c r="H35" s="27" t="n">
        <v>4.3</v>
      </c>
      <c r="I35" s="25" t="n">
        <v>91</v>
      </c>
      <c r="J35" s="25" t="s">
        <v>48</v>
      </c>
      <c r="K35" s="25" t="s">
        <v>111</v>
      </c>
      <c r="L35" s="25" t="s">
        <v>114</v>
      </c>
      <c r="M35" s="26" t="n">
        <v>18842000</v>
      </c>
      <c r="N35" s="28" t="n">
        <v>84.8</v>
      </c>
      <c r="O35" s="29" t="n">
        <f aca="false">G35+ROW()/10000000</f>
        <v>41049000.0000035</v>
      </c>
    </row>
    <row r="36" customFormat="false" ht="15" hidden="false" customHeight="false" outlineLevel="0" collapsed="false">
      <c r="A36" s="25" t="n">
        <v>32</v>
      </c>
      <c r="B36" s="25" t="s">
        <v>157</v>
      </c>
      <c r="C36" s="25" t="s">
        <v>41</v>
      </c>
      <c r="D36" s="25" t="s">
        <v>77</v>
      </c>
      <c r="E36" s="25" t="n">
        <v>2003</v>
      </c>
      <c r="F36" s="26" t="n">
        <v>138672000</v>
      </c>
      <c r="G36" s="26" t="n">
        <v>208490000</v>
      </c>
      <c r="H36" s="27" t="n">
        <v>6.5</v>
      </c>
      <c r="I36" s="25" t="n">
        <v>147</v>
      </c>
      <c r="J36" s="25" t="s">
        <v>33</v>
      </c>
      <c r="K36" s="25" t="s">
        <v>121</v>
      </c>
      <c r="L36" s="25" t="s">
        <v>128</v>
      </c>
      <c r="M36" s="26" t="n">
        <v>69818000</v>
      </c>
      <c r="N36" s="28" t="n">
        <v>50.3</v>
      </c>
      <c r="O36" s="29" t="n">
        <f aca="false">G36+ROW()/10000000</f>
        <v>208490000.000004</v>
      </c>
    </row>
    <row r="37" customFormat="false" ht="15" hidden="false" customHeight="false" outlineLevel="0" collapsed="false">
      <c r="A37" s="25" t="n">
        <v>33</v>
      </c>
      <c r="B37" s="25" t="s">
        <v>158</v>
      </c>
      <c r="C37" s="25" t="s">
        <v>38</v>
      </c>
      <c r="D37" s="25" t="s">
        <v>55</v>
      </c>
      <c r="E37" s="25" t="n">
        <v>2003</v>
      </c>
      <c r="F37" s="26" t="n">
        <v>9056000</v>
      </c>
      <c r="G37" s="26" t="n">
        <v>14641000</v>
      </c>
      <c r="H37" s="27" t="n">
        <v>6.5</v>
      </c>
      <c r="I37" s="25" t="n">
        <v>112</v>
      </c>
      <c r="J37" s="25" t="s">
        <v>33</v>
      </c>
      <c r="K37" s="25" t="s">
        <v>152</v>
      </c>
      <c r="L37" s="25" t="s">
        <v>119</v>
      </c>
      <c r="M37" s="26" t="n">
        <v>5585000</v>
      </c>
      <c r="N37" s="28" t="n">
        <v>61.7</v>
      </c>
      <c r="O37" s="29" t="n">
        <f aca="false">G37+ROW()/10000000</f>
        <v>14641000.0000037</v>
      </c>
    </row>
    <row r="38" customFormat="false" ht="15" hidden="false" customHeight="false" outlineLevel="0" collapsed="false">
      <c r="A38" s="25" t="n">
        <v>34</v>
      </c>
      <c r="B38" s="25" t="s">
        <v>159</v>
      </c>
      <c r="C38" s="25" t="s">
        <v>20</v>
      </c>
      <c r="D38" s="25" t="s">
        <v>67</v>
      </c>
      <c r="E38" s="25" t="n">
        <v>2003</v>
      </c>
      <c r="F38" s="26" t="n">
        <v>59788000</v>
      </c>
      <c r="G38" s="26" t="n">
        <v>118434000</v>
      </c>
      <c r="H38" s="27" t="n">
        <v>6.9</v>
      </c>
      <c r="I38" s="25" t="n">
        <v>131</v>
      </c>
      <c r="J38" s="25" t="s">
        <v>24</v>
      </c>
      <c r="K38" s="25" t="s">
        <v>118</v>
      </c>
      <c r="L38" s="25" t="s">
        <v>136</v>
      </c>
      <c r="M38" s="26" t="n">
        <v>58646000</v>
      </c>
      <c r="N38" s="28" t="n">
        <v>98.1</v>
      </c>
      <c r="O38" s="29" t="n">
        <f aca="false">G38+ROW()/10000000</f>
        <v>118434000.000004</v>
      </c>
    </row>
    <row r="39" customFormat="false" ht="15" hidden="false" customHeight="false" outlineLevel="0" collapsed="false">
      <c r="A39" s="25" t="n">
        <v>35</v>
      </c>
      <c r="B39" s="25" t="s">
        <v>160</v>
      </c>
      <c r="C39" s="25" t="s">
        <v>50</v>
      </c>
      <c r="D39" s="25" t="s">
        <v>65</v>
      </c>
      <c r="E39" s="25" t="n">
        <v>2003</v>
      </c>
      <c r="F39" s="26" t="n">
        <v>110302000</v>
      </c>
      <c r="G39" s="26" t="n">
        <v>257523000</v>
      </c>
      <c r="H39" s="27" t="n">
        <v>4.4</v>
      </c>
      <c r="I39" s="25" t="n">
        <v>111</v>
      </c>
      <c r="J39" s="25" t="s">
        <v>30</v>
      </c>
      <c r="K39" s="25" t="s">
        <v>152</v>
      </c>
      <c r="L39" s="25" t="s">
        <v>141</v>
      </c>
      <c r="M39" s="26" t="n">
        <v>147221000</v>
      </c>
      <c r="N39" s="28" t="n">
        <v>133.5</v>
      </c>
      <c r="O39" s="29" t="n">
        <f aca="false">G39+ROW()/10000000</f>
        <v>257523000.000004</v>
      </c>
    </row>
    <row r="40" customFormat="false" ht="15" hidden="false" customHeight="false" outlineLevel="0" collapsed="false">
      <c r="A40" s="25" t="n">
        <v>36</v>
      </c>
      <c r="B40" s="25" t="s">
        <v>161</v>
      </c>
      <c r="C40" s="25" t="s">
        <v>32</v>
      </c>
      <c r="D40" s="25" t="s">
        <v>57</v>
      </c>
      <c r="E40" s="25" t="n">
        <v>2003</v>
      </c>
      <c r="F40" s="26" t="n">
        <v>43738000</v>
      </c>
      <c r="G40" s="26" t="n">
        <v>167010000</v>
      </c>
      <c r="H40" s="27" t="n">
        <v>6.5</v>
      </c>
      <c r="I40" s="25" t="n">
        <v>94</v>
      </c>
      <c r="J40" s="25" t="s">
        <v>24</v>
      </c>
      <c r="K40" s="25" t="s">
        <v>51</v>
      </c>
      <c r="L40" s="25" t="s">
        <v>109</v>
      </c>
      <c r="M40" s="26" t="n">
        <v>123272000</v>
      </c>
      <c r="N40" s="28" t="n">
        <v>281.8</v>
      </c>
      <c r="O40" s="29" t="n">
        <f aca="false">G40+ROW()/10000000</f>
        <v>167010000.000004</v>
      </c>
    </row>
    <row r="41" customFormat="false" ht="15" hidden="false" customHeight="false" outlineLevel="0" collapsed="false">
      <c r="A41" s="25" t="n">
        <v>37</v>
      </c>
      <c r="B41" s="25" t="s">
        <v>162</v>
      </c>
      <c r="C41" s="25" t="s">
        <v>35</v>
      </c>
      <c r="D41" s="25" t="s">
        <v>55</v>
      </c>
      <c r="E41" s="25" t="n">
        <v>2003</v>
      </c>
      <c r="F41" s="26" t="n">
        <v>3349000</v>
      </c>
      <c r="G41" s="26" t="n">
        <v>6578000</v>
      </c>
      <c r="H41" s="27" t="n">
        <v>7</v>
      </c>
      <c r="I41" s="25" t="n">
        <v>100</v>
      </c>
      <c r="J41" s="25" t="s">
        <v>39</v>
      </c>
      <c r="K41" s="25" t="s">
        <v>144</v>
      </c>
      <c r="L41" s="25" t="s">
        <v>136</v>
      </c>
      <c r="M41" s="26" t="n">
        <v>3229000</v>
      </c>
      <c r="N41" s="28" t="n">
        <v>96.4</v>
      </c>
      <c r="O41" s="29" t="n">
        <f aca="false">G41+ROW()/10000000</f>
        <v>6578000.0000041</v>
      </c>
    </row>
    <row r="42" customFormat="false" ht="15" hidden="false" customHeight="false" outlineLevel="0" collapsed="false">
      <c r="A42" s="25" t="n">
        <v>38</v>
      </c>
      <c r="B42" s="25" t="s">
        <v>163</v>
      </c>
      <c r="C42" s="25" t="s">
        <v>38</v>
      </c>
      <c r="D42" s="25" t="s">
        <v>68</v>
      </c>
      <c r="E42" s="25" t="n">
        <v>2003</v>
      </c>
      <c r="F42" s="26" t="n">
        <v>25557000</v>
      </c>
      <c r="G42" s="26" t="n">
        <v>135214000</v>
      </c>
      <c r="H42" s="27" t="n">
        <v>4.6</v>
      </c>
      <c r="I42" s="25" t="n">
        <v>142</v>
      </c>
      <c r="J42" s="25" t="s">
        <v>27</v>
      </c>
      <c r="K42" s="25" t="s">
        <v>118</v>
      </c>
      <c r="L42" s="25" t="s">
        <v>119</v>
      </c>
      <c r="M42" s="26" t="n">
        <v>109657000</v>
      </c>
      <c r="N42" s="28" t="n">
        <v>429.1</v>
      </c>
      <c r="O42" s="29" t="n">
        <f aca="false">G42+ROW()/10000000</f>
        <v>135214000.000004</v>
      </c>
    </row>
    <row r="43" customFormat="false" ht="15" hidden="false" customHeight="false" outlineLevel="0" collapsed="false">
      <c r="A43" s="25" t="n">
        <v>39</v>
      </c>
      <c r="B43" s="25" t="s">
        <v>164</v>
      </c>
      <c r="C43" s="25" t="s">
        <v>20</v>
      </c>
      <c r="D43" s="25" t="s">
        <v>56</v>
      </c>
      <c r="E43" s="25" t="n">
        <v>2003</v>
      </c>
      <c r="F43" s="26" t="n">
        <v>94112000</v>
      </c>
      <c r="G43" s="26" t="n">
        <v>257160000</v>
      </c>
      <c r="H43" s="27" t="n">
        <v>6.1</v>
      </c>
      <c r="I43" s="25" t="n">
        <v>110</v>
      </c>
      <c r="J43" s="25" t="s">
        <v>27</v>
      </c>
      <c r="K43" s="25" t="s">
        <v>106</v>
      </c>
      <c r="L43" s="25" t="s">
        <v>122</v>
      </c>
      <c r="M43" s="26" t="n">
        <v>163048000</v>
      </c>
      <c r="N43" s="28" t="n">
        <v>173.2</v>
      </c>
      <c r="O43" s="29" t="n">
        <f aca="false">G43+ROW()/10000000</f>
        <v>257160000.000004</v>
      </c>
    </row>
    <row r="44" customFormat="false" ht="15" hidden="false" customHeight="false" outlineLevel="0" collapsed="false">
      <c r="A44" s="25" t="n">
        <v>40</v>
      </c>
      <c r="B44" s="25" t="s">
        <v>165</v>
      </c>
      <c r="C44" s="25" t="s">
        <v>50</v>
      </c>
      <c r="D44" s="25" t="s">
        <v>55</v>
      </c>
      <c r="E44" s="25" t="n">
        <v>2004</v>
      </c>
      <c r="F44" s="26" t="n">
        <v>119869000</v>
      </c>
      <c r="G44" s="26" t="n">
        <v>267631000</v>
      </c>
      <c r="H44" s="27" t="n">
        <v>7.2</v>
      </c>
      <c r="I44" s="25" t="n">
        <v>142</v>
      </c>
      <c r="J44" s="25" t="s">
        <v>48</v>
      </c>
      <c r="K44" s="25" t="s">
        <v>139</v>
      </c>
      <c r="L44" s="25" t="s">
        <v>136</v>
      </c>
      <c r="M44" s="26" t="n">
        <v>147762000</v>
      </c>
      <c r="N44" s="28" t="n">
        <v>123.3</v>
      </c>
      <c r="O44" s="29" t="n">
        <f aca="false">G44+ROW()/10000000</f>
        <v>267631000.000004</v>
      </c>
    </row>
    <row r="45" customFormat="false" ht="15" hidden="false" customHeight="false" outlineLevel="0" collapsed="false">
      <c r="A45" s="25" t="n">
        <v>41</v>
      </c>
      <c r="B45" s="25" t="s">
        <v>166</v>
      </c>
      <c r="C45" s="25" t="s">
        <v>32</v>
      </c>
      <c r="D45" s="25" t="s">
        <v>54</v>
      </c>
      <c r="E45" s="25" t="n">
        <v>2004</v>
      </c>
      <c r="F45" s="26" t="n">
        <v>8809000</v>
      </c>
      <c r="G45" s="26" t="n">
        <v>16940000</v>
      </c>
      <c r="H45" s="27" t="n">
        <v>6.5</v>
      </c>
      <c r="I45" s="25" t="n">
        <v>145</v>
      </c>
      <c r="J45" s="25" t="s">
        <v>30</v>
      </c>
      <c r="K45" s="25" t="s">
        <v>106</v>
      </c>
      <c r="L45" s="25" t="s">
        <v>136</v>
      </c>
      <c r="M45" s="26" t="n">
        <v>8131000</v>
      </c>
      <c r="N45" s="28" t="n">
        <v>92.3</v>
      </c>
      <c r="O45" s="29" t="n">
        <f aca="false">G45+ROW()/10000000</f>
        <v>16940000.0000045</v>
      </c>
    </row>
    <row r="46" customFormat="false" ht="15" hidden="false" customHeight="false" outlineLevel="0" collapsed="false">
      <c r="A46" s="25" t="n">
        <v>42</v>
      </c>
      <c r="B46" s="25" t="s">
        <v>167</v>
      </c>
      <c r="C46" s="25" t="s">
        <v>35</v>
      </c>
      <c r="D46" s="25" t="s">
        <v>58</v>
      </c>
      <c r="E46" s="25" t="n">
        <v>2004</v>
      </c>
      <c r="F46" s="26" t="n">
        <v>5091000</v>
      </c>
      <c r="G46" s="26" t="n">
        <v>7093000</v>
      </c>
      <c r="H46" s="27" t="n">
        <v>5.1</v>
      </c>
      <c r="I46" s="25" t="n">
        <v>147</v>
      </c>
      <c r="J46" s="25" t="s">
        <v>42</v>
      </c>
      <c r="K46" s="25" t="s">
        <v>113</v>
      </c>
      <c r="L46" s="25" t="s">
        <v>128</v>
      </c>
      <c r="M46" s="26" t="n">
        <v>2002000</v>
      </c>
      <c r="N46" s="28" t="n">
        <v>39.3</v>
      </c>
      <c r="O46" s="29" t="n">
        <f aca="false">G46+ROW()/10000000</f>
        <v>7093000.0000046</v>
      </c>
    </row>
    <row r="47" customFormat="false" ht="15" hidden="false" customHeight="false" outlineLevel="0" collapsed="false">
      <c r="A47" s="25" t="n">
        <v>43</v>
      </c>
      <c r="B47" s="25" t="s">
        <v>168</v>
      </c>
      <c r="C47" s="25" t="s">
        <v>23</v>
      </c>
      <c r="D47" s="25" t="s">
        <v>63</v>
      </c>
      <c r="E47" s="25" t="n">
        <v>2004</v>
      </c>
      <c r="F47" s="26" t="n">
        <v>98881000</v>
      </c>
      <c r="G47" s="26" t="n">
        <v>73855000</v>
      </c>
      <c r="H47" s="27" t="n">
        <v>7.6</v>
      </c>
      <c r="I47" s="25" t="n">
        <v>121</v>
      </c>
      <c r="J47" s="25" t="s">
        <v>27</v>
      </c>
      <c r="K47" s="25" t="s">
        <v>154</v>
      </c>
      <c r="L47" s="25" t="s">
        <v>109</v>
      </c>
      <c r="M47" s="26" t="n">
        <v>-25026000</v>
      </c>
      <c r="N47" s="28" t="n">
        <v>-25.3</v>
      </c>
      <c r="O47" s="29" t="n">
        <f aca="false">G47+ROW()/10000000</f>
        <v>73855000.0000047</v>
      </c>
    </row>
    <row r="48" customFormat="false" ht="15" hidden="false" customHeight="false" outlineLevel="0" collapsed="false">
      <c r="A48" s="25" t="n">
        <v>44</v>
      </c>
      <c r="B48" s="25" t="s">
        <v>169</v>
      </c>
      <c r="C48" s="25" t="s">
        <v>41</v>
      </c>
      <c r="D48" s="25" t="s">
        <v>54</v>
      </c>
      <c r="E48" s="25" t="n">
        <v>2004</v>
      </c>
      <c r="F48" s="26" t="n">
        <v>37423000</v>
      </c>
      <c r="G48" s="26" t="n">
        <v>239629000</v>
      </c>
      <c r="H48" s="27" t="n">
        <v>8.3</v>
      </c>
      <c r="I48" s="25" t="n">
        <v>107</v>
      </c>
      <c r="J48" s="25" t="s">
        <v>48</v>
      </c>
      <c r="K48" s="25" t="s">
        <v>170</v>
      </c>
      <c r="L48" s="25" t="s">
        <v>109</v>
      </c>
      <c r="M48" s="26" t="n">
        <v>202206000</v>
      </c>
      <c r="N48" s="28" t="n">
        <v>540.3</v>
      </c>
      <c r="O48" s="29" t="n">
        <f aca="false">G48+ROW()/10000000</f>
        <v>239629000.000005</v>
      </c>
    </row>
    <row r="49" customFormat="false" ht="15" hidden="false" customHeight="false" outlineLevel="0" collapsed="false">
      <c r="A49" s="25" t="n">
        <v>45</v>
      </c>
      <c r="B49" s="25" t="s">
        <v>171</v>
      </c>
      <c r="C49" s="25" t="s">
        <v>38</v>
      </c>
      <c r="D49" s="25" t="s">
        <v>76</v>
      </c>
      <c r="E49" s="25" t="n">
        <v>2004</v>
      </c>
      <c r="F49" s="26" t="n">
        <v>23877000</v>
      </c>
      <c r="G49" s="26" t="n">
        <v>50311000</v>
      </c>
      <c r="H49" s="27" t="n">
        <v>7.2</v>
      </c>
      <c r="I49" s="25" t="n">
        <v>127</v>
      </c>
      <c r="J49" s="25" t="s">
        <v>42</v>
      </c>
      <c r="K49" s="25" t="s">
        <v>121</v>
      </c>
      <c r="L49" s="25" t="s">
        <v>122</v>
      </c>
      <c r="M49" s="26" t="n">
        <v>26434000</v>
      </c>
      <c r="N49" s="28" t="n">
        <v>110.7</v>
      </c>
      <c r="O49" s="29" t="n">
        <f aca="false">G49+ROW()/10000000</f>
        <v>50311000.0000049</v>
      </c>
    </row>
    <row r="50" customFormat="false" ht="15" hidden="false" customHeight="false" outlineLevel="0" collapsed="false">
      <c r="A50" s="25" t="n">
        <v>46</v>
      </c>
      <c r="B50" s="25" t="s">
        <v>172</v>
      </c>
      <c r="C50" s="25" t="s">
        <v>50</v>
      </c>
      <c r="D50" s="25" t="s">
        <v>31</v>
      </c>
      <c r="E50" s="25" t="n">
        <v>2004</v>
      </c>
      <c r="F50" s="26" t="n">
        <v>108788500</v>
      </c>
      <c r="G50" s="26" t="n">
        <v>305307000</v>
      </c>
      <c r="H50" s="27" t="n">
        <v>8.6</v>
      </c>
      <c r="I50" s="25" t="n">
        <v>115</v>
      </c>
      <c r="J50" s="25" t="s">
        <v>45</v>
      </c>
      <c r="K50" s="25" t="s">
        <v>113</v>
      </c>
      <c r="L50" s="25" t="s">
        <v>131</v>
      </c>
      <c r="M50" s="26" t="n">
        <v>196518500</v>
      </c>
      <c r="N50" s="28" t="n">
        <v>180.6</v>
      </c>
      <c r="O50" s="29" t="n">
        <f aca="false">G50+ROW()/10000000</f>
        <v>305307000.000005</v>
      </c>
    </row>
    <row r="51" customFormat="false" ht="15" hidden="false" customHeight="false" outlineLevel="0" collapsed="false">
      <c r="A51" s="25" t="n">
        <v>47</v>
      </c>
      <c r="B51" s="25" t="s">
        <v>173</v>
      </c>
      <c r="C51" s="25" t="s">
        <v>38</v>
      </c>
      <c r="D51" s="25" t="s">
        <v>52</v>
      </c>
      <c r="E51" s="25" t="n">
        <v>2004</v>
      </c>
      <c r="F51" s="26" t="n">
        <v>16676000</v>
      </c>
      <c r="G51" s="26" t="n">
        <v>57053000</v>
      </c>
      <c r="H51" s="27" t="n">
        <v>5.9</v>
      </c>
      <c r="I51" s="25" t="n">
        <v>124</v>
      </c>
      <c r="J51" s="25" t="s">
        <v>36</v>
      </c>
      <c r="K51" s="25" t="s">
        <v>113</v>
      </c>
      <c r="L51" s="25" t="s">
        <v>119</v>
      </c>
      <c r="M51" s="26" t="n">
        <v>40377000</v>
      </c>
      <c r="N51" s="28" t="n">
        <v>242.1</v>
      </c>
      <c r="O51" s="29" t="n">
        <f aca="false">G51+ROW()/10000000</f>
        <v>57053000.0000051</v>
      </c>
    </row>
    <row r="52" customFormat="false" ht="15" hidden="false" customHeight="false" outlineLevel="0" collapsed="false">
      <c r="A52" s="25" t="n">
        <v>48</v>
      </c>
      <c r="B52" s="25" t="s">
        <v>174</v>
      </c>
      <c r="C52" s="25" t="s">
        <v>53</v>
      </c>
      <c r="D52" s="25" t="s">
        <v>40</v>
      </c>
      <c r="E52" s="25" t="n">
        <v>2004</v>
      </c>
      <c r="F52" s="26" t="n">
        <v>36305000</v>
      </c>
      <c r="G52" s="26" t="n">
        <v>145373000</v>
      </c>
      <c r="H52" s="27" t="n">
        <v>8.5</v>
      </c>
      <c r="I52" s="25" t="n">
        <v>134</v>
      </c>
      <c r="J52" s="25" t="s">
        <v>21</v>
      </c>
      <c r="K52" s="25" t="s">
        <v>139</v>
      </c>
      <c r="L52" s="25" t="s">
        <v>128</v>
      </c>
      <c r="M52" s="26" t="n">
        <v>109068000</v>
      </c>
      <c r="N52" s="28" t="n">
        <v>300.4</v>
      </c>
      <c r="O52" s="29" t="n">
        <f aca="false">G52+ROW()/10000000</f>
        <v>145373000.000005</v>
      </c>
    </row>
    <row r="53" customFormat="false" ht="15" hidden="false" customHeight="false" outlineLevel="0" collapsed="false">
      <c r="A53" s="25" t="n">
        <v>49</v>
      </c>
      <c r="B53" s="25" t="s">
        <v>175</v>
      </c>
      <c r="C53" s="25" t="s">
        <v>38</v>
      </c>
      <c r="D53" s="25" t="s">
        <v>69</v>
      </c>
      <c r="E53" s="25" t="n">
        <v>2004</v>
      </c>
      <c r="F53" s="26" t="n">
        <v>26135000</v>
      </c>
      <c r="G53" s="26" t="n">
        <v>102184000</v>
      </c>
      <c r="H53" s="27" t="n">
        <v>8.2</v>
      </c>
      <c r="I53" s="25" t="n">
        <v>87</v>
      </c>
      <c r="J53" s="25" t="s">
        <v>36</v>
      </c>
      <c r="K53" s="25" t="s">
        <v>139</v>
      </c>
      <c r="L53" s="25" t="s">
        <v>107</v>
      </c>
      <c r="M53" s="26" t="n">
        <v>76049000</v>
      </c>
      <c r="N53" s="28" t="n">
        <v>291</v>
      </c>
      <c r="O53" s="29" t="n">
        <f aca="false">G53+ROW()/10000000</f>
        <v>102184000.000005</v>
      </c>
    </row>
    <row r="54" customFormat="false" ht="15" hidden="false" customHeight="false" outlineLevel="0" collapsed="false">
      <c r="A54" s="25" t="n">
        <v>50</v>
      </c>
      <c r="B54" s="25" t="s">
        <v>176</v>
      </c>
      <c r="C54" s="25" t="s">
        <v>26</v>
      </c>
      <c r="D54" s="25" t="s">
        <v>57</v>
      </c>
      <c r="E54" s="25" t="n">
        <v>2004</v>
      </c>
      <c r="F54" s="26" t="n">
        <v>56732000</v>
      </c>
      <c r="G54" s="26" t="n">
        <v>117339000</v>
      </c>
      <c r="H54" s="27" t="n">
        <v>6.4</v>
      </c>
      <c r="I54" s="25" t="n">
        <v>124</v>
      </c>
      <c r="J54" s="25" t="s">
        <v>42</v>
      </c>
      <c r="K54" s="25" t="s">
        <v>144</v>
      </c>
      <c r="L54" s="25" t="s">
        <v>146</v>
      </c>
      <c r="M54" s="26" t="n">
        <v>60607000</v>
      </c>
      <c r="N54" s="28" t="n">
        <v>106.8</v>
      </c>
      <c r="O54" s="29" t="n">
        <f aca="false">G54+ROW()/10000000</f>
        <v>117339000.000005</v>
      </c>
    </row>
    <row r="55" customFormat="false" ht="15" hidden="false" customHeight="false" outlineLevel="0" collapsed="false">
      <c r="A55" s="25" t="n">
        <v>51</v>
      </c>
      <c r="B55" s="25" t="s">
        <v>177</v>
      </c>
      <c r="C55" s="25" t="s">
        <v>41</v>
      </c>
      <c r="D55" s="25" t="s">
        <v>72</v>
      </c>
      <c r="E55" s="25" t="n">
        <v>2004</v>
      </c>
      <c r="F55" s="26" t="n">
        <v>64277000</v>
      </c>
      <c r="G55" s="26" t="n">
        <v>111272000</v>
      </c>
      <c r="H55" s="27" t="n">
        <v>7.5</v>
      </c>
      <c r="I55" s="25" t="n">
        <v>118</v>
      </c>
      <c r="J55" s="25" t="s">
        <v>24</v>
      </c>
      <c r="K55" s="25" t="s">
        <v>113</v>
      </c>
      <c r="L55" s="25" t="s">
        <v>136</v>
      </c>
      <c r="M55" s="26" t="n">
        <v>46995000</v>
      </c>
      <c r="N55" s="28" t="n">
        <v>73.1</v>
      </c>
      <c r="O55" s="29" t="n">
        <f aca="false">G55+ROW()/10000000</f>
        <v>111272000.000006</v>
      </c>
    </row>
    <row r="56" customFormat="false" ht="15" hidden="false" customHeight="false" outlineLevel="0" collapsed="false">
      <c r="A56" s="25" t="n">
        <v>52</v>
      </c>
      <c r="B56" s="25" t="s">
        <v>178</v>
      </c>
      <c r="C56" s="25" t="s">
        <v>41</v>
      </c>
      <c r="D56" s="25" t="s">
        <v>49</v>
      </c>
      <c r="E56" s="25" t="n">
        <v>2004</v>
      </c>
      <c r="F56" s="26" t="n">
        <v>120025000</v>
      </c>
      <c r="G56" s="26" t="n">
        <v>1205730000</v>
      </c>
      <c r="H56" s="27" t="n">
        <v>6.3</v>
      </c>
      <c r="I56" s="25" t="n">
        <v>96</v>
      </c>
      <c r="J56" s="25" t="s">
        <v>33</v>
      </c>
      <c r="K56" s="25" t="s">
        <v>144</v>
      </c>
      <c r="L56" s="25" t="s">
        <v>136</v>
      </c>
      <c r="M56" s="26" t="n">
        <v>1085705000</v>
      </c>
      <c r="N56" s="28" t="n">
        <v>904.6</v>
      </c>
      <c r="O56" s="29" t="n">
        <f aca="false">G56+ROW()/10000000</f>
        <v>1205730000.00001</v>
      </c>
    </row>
    <row r="57" customFormat="false" ht="15" hidden="false" customHeight="false" outlineLevel="0" collapsed="false">
      <c r="A57" s="25" t="n">
        <v>53</v>
      </c>
      <c r="B57" s="25" t="s">
        <v>179</v>
      </c>
      <c r="C57" s="25" t="s">
        <v>35</v>
      </c>
      <c r="D57" s="25" t="s">
        <v>56</v>
      </c>
      <c r="E57" s="25" t="n">
        <v>2004</v>
      </c>
      <c r="F57" s="26" t="n">
        <v>5687000</v>
      </c>
      <c r="G57" s="26" t="n">
        <v>4072000</v>
      </c>
      <c r="H57" s="27" t="n">
        <v>6.9</v>
      </c>
      <c r="I57" s="25" t="n">
        <v>104</v>
      </c>
      <c r="J57" s="25" t="s">
        <v>39</v>
      </c>
      <c r="K57" s="25" t="s">
        <v>103</v>
      </c>
      <c r="L57" s="25" t="s">
        <v>104</v>
      </c>
      <c r="M57" s="26" t="n">
        <v>-1615000</v>
      </c>
      <c r="N57" s="28" t="n">
        <v>-28.4</v>
      </c>
      <c r="O57" s="29" t="n">
        <f aca="false">G57+ROW()/10000000</f>
        <v>4072000.0000057</v>
      </c>
    </row>
    <row r="58" customFormat="false" ht="15" hidden="false" customHeight="false" outlineLevel="0" collapsed="false">
      <c r="A58" s="25" t="n">
        <v>54</v>
      </c>
      <c r="B58" s="25" t="s">
        <v>180</v>
      </c>
      <c r="C58" s="25" t="s">
        <v>29</v>
      </c>
      <c r="D58" s="25" t="s">
        <v>25</v>
      </c>
      <c r="E58" s="25" t="n">
        <v>2005</v>
      </c>
      <c r="F58" s="26" t="n">
        <v>27133000</v>
      </c>
      <c r="G58" s="26" t="n">
        <v>35355000</v>
      </c>
      <c r="H58" s="27" t="n">
        <v>5.9</v>
      </c>
      <c r="I58" s="25" t="n">
        <v>127</v>
      </c>
      <c r="J58" s="25" t="s">
        <v>48</v>
      </c>
      <c r="K58" s="25" t="s">
        <v>181</v>
      </c>
      <c r="L58" s="25" t="s">
        <v>131</v>
      </c>
      <c r="M58" s="26" t="n">
        <v>8222000</v>
      </c>
      <c r="N58" s="28" t="n">
        <v>30.3</v>
      </c>
      <c r="O58" s="29" t="n">
        <f aca="false">G58+ROW()/10000000</f>
        <v>35355000.0000058</v>
      </c>
    </row>
    <row r="59" customFormat="false" ht="15" hidden="false" customHeight="false" outlineLevel="0" collapsed="false">
      <c r="A59" s="25" t="n">
        <v>55</v>
      </c>
      <c r="B59" s="25" t="s">
        <v>182</v>
      </c>
      <c r="C59" s="25" t="s">
        <v>26</v>
      </c>
      <c r="D59" s="25" t="s">
        <v>58</v>
      </c>
      <c r="E59" s="25" t="n">
        <v>2005</v>
      </c>
      <c r="F59" s="26" t="n">
        <v>71396000</v>
      </c>
      <c r="G59" s="26" t="n">
        <v>80937000</v>
      </c>
      <c r="H59" s="27" t="n">
        <v>9.3</v>
      </c>
      <c r="I59" s="25" t="n">
        <v>113</v>
      </c>
      <c r="J59" s="25" t="s">
        <v>27</v>
      </c>
      <c r="K59" s="25" t="s">
        <v>139</v>
      </c>
      <c r="L59" s="25" t="s">
        <v>109</v>
      </c>
      <c r="M59" s="26" t="n">
        <v>9541000</v>
      </c>
      <c r="N59" s="28" t="n">
        <v>13.4</v>
      </c>
      <c r="O59" s="29" t="n">
        <f aca="false">G59+ROW()/10000000</f>
        <v>80937000.0000059</v>
      </c>
    </row>
    <row r="60" customFormat="false" ht="15" hidden="false" customHeight="false" outlineLevel="0" collapsed="false">
      <c r="A60" s="25" t="n">
        <v>56</v>
      </c>
      <c r="B60" s="25" t="s">
        <v>183</v>
      </c>
      <c r="C60" s="25" t="s">
        <v>47</v>
      </c>
      <c r="D60" s="25" t="s">
        <v>46</v>
      </c>
      <c r="E60" s="25" t="n">
        <v>2005</v>
      </c>
      <c r="F60" s="26" t="n">
        <v>12203000</v>
      </c>
      <c r="G60" s="26" t="n">
        <v>52071000</v>
      </c>
      <c r="H60" s="27" t="n">
        <v>7.8</v>
      </c>
      <c r="I60" s="25" t="n">
        <v>95</v>
      </c>
      <c r="J60" s="25" t="s">
        <v>42</v>
      </c>
      <c r="K60" s="25" t="s">
        <v>139</v>
      </c>
      <c r="L60" s="25" t="s">
        <v>184</v>
      </c>
      <c r="M60" s="26" t="n">
        <v>39868000</v>
      </c>
      <c r="N60" s="28" t="n">
        <v>326.7</v>
      </c>
      <c r="O60" s="29" t="n">
        <f aca="false">G60+ROW()/10000000</f>
        <v>52071000.000006</v>
      </c>
    </row>
    <row r="61" customFormat="false" ht="15" hidden="false" customHeight="false" outlineLevel="0" collapsed="false">
      <c r="A61" s="25" t="n">
        <v>57</v>
      </c>
      <c r="B61" s="25" t="s">
        <v>185</v>
      </c>
      <c r="C61" s="25" t="s">
        <v>20</v>
      </c>
      <c r="D61" s="25" t="s">
        <v>72</v>
      </c>
      <c r="E61" s="25" t="n">
        <v>2005</v>
      </c>
      <c r="F61" s="26" t="n">
        <v>98711000</v>
      </c>
      <c r="G61" s="26" t="n">
        <v>63618000</v>
      </c>
      <c r="H61" s="27" t="n">
        <v>4.6</v>
      </c>
      <c r="I61" s="25" t="n">
        <v>100</v>
      </c>
      <c r="J61" s="25" t="s">
        <v>30</v>
      </c>
      <c r="K61" s="25" t="s">
        <v>121</v>
      </c>
      <c r="L61" s="25" t="s">
        <v>141</v>
      </c>
      <c r="M61" s="26" t="n">
        <v>-35093000</v>
      </c>
      <c r="N61" s="28" t="n">
        <v>-35.6</v>
      </c>
      <c r="O61" s="29" t="n">
        <f aca="false">G61+ROW()/10000000</f>
        <v>63618000.0000061</v>
      </c>
    </row>
    <row r="62" customFormat="false" ht="15" hidden="false" customHeight="false" outlineLevel="0" collapsed="false">
      <c r="A62" s="25" t="n">
        <v>58</v>
      </c>
      <c r="B62" s="25" t="s">
        <v>186</v>
      </c>
      <c r="C62" s="25" t="s">
        <v>32</v>
      </c>
      <c r="D62" s="25" t="s">
        <v>63</v>
      </c>
      <c r="E62" s="25" t="n">
        <v>2005</v>
      </c>
      <c r="F62" s="26" t="n">
        <v>20942000</v>
      </c>
      <c r="G62" s="26" t="n">
        <v>30093000</v>
      </c>
      <c r="H62" s="27" t="n">
        <v>6.5</v>
      </c>
      <c r="I62" s="25" t="n">
        <v>116</v>
      </c>
      <c r="J62" s="25" t="s">
        <v>21</v>
      </c>
      <c r="K62" s="25" t="s">
        <v>181</v>
      </c>
      <c r="L62" s="25" t="s">
        <v>104</v>
      </c>
      <c r="M62" s="26" t="n">
        <v>9151000</v>
      </c>
      <c r="N62" s="28" t="n">
        <v>43.7</v>
      </c>
      <c r="O62" s="29" t="n">
        <f aca="false">G62+ROW()/10000000</f>
        <v>30093000.0000062</v>
      </c>
    </row>
    <row r="63" customFormat="false" ht="15" hidden="false" customHeight="false" outlineLevel="0" collapsed="false">
      <c r="A63" s="25" t="n">
        <v>59</v>
      </c>
      <c r="B63" s="25" t="s">
        <v>187</v>
      </c>
      <c r="C63" s="25" t="s">
        <v>53</v>
      </c>
      <c r="D63" s="25" t="s">
        <v>54</v>
      </c>
      <c r="E63" s="25" t="n">
        <v>2005</v>
      </c>
      <c r="F63" s="26" t="n">
        <v>26736000</v>
      </c>
      <c r="G63" s="26" t="n">
        <v>44429000</v>
      </c>
      <c r="H63" s="27" t="n">
        <v>7.3</v>
      </c>
      <c r="I63" s="25" t="n">
        <v>124</v>
      </c>
      <c r="J63" s="25" t="s">
        <v>42</v>
      </c>
      <c r="K63" s="25" t="s">
        <v>144</v>
      </c>
      <c r="L63" s="25" t="s">
        <v>104</v>
      </c>
      <c r="M63" s="26" t="n">
        <v>17693000</v>
      </c>
      <c r="N63" s="28" t="n">
        <v>66.2</v>
      </c>
      <c r="O63" s="29" t="n">
        <f aca="false">G63+ROW()/10000000</f>
        <v>44429000.0000063</v>
      </c>
    </row>
    <row r="64" customFormat="false" ht="15" hidden="false" customHeight="false" outlineLevel="0" collapsed="false">
      <c r="A64" s="25" t="n">
        <v>60</v>
      </c>
      <c r="B64" s="25" t="s">
        <v>188</v>
      </c>
      <c r="C64" s="25" t="s">
        <v>26</v>
      </c>
      <c r="D64" s="25" t="s">
        <v>76</v>
      </c>
      <c r="E64" s="25" t="n">
        <v>2005</v>
      </c>
      <c r="F64" s="26" t="n">
        <v>66096000</v>
      </c>
      <c r="G64" s="26" t="n">
        <v>130934000</v>
      </c>
      <c r="H64" s="27" t="n">
        <v>6.7</v>
      </c>
      <c r="I64" s="25" t="n">
        <v>102</v>
      </c>
      <c r="J64" s="25" t="s">
        <v>24</v>
      </c>
      <c r="K64" s="25" t="s">
        <v>139</v>
      </c>
      <c r="L64" s="25" t="s">
        <v>128</v>
      </c>
      <c r="M64" s="26" t="n">
        <v>64838000</v>
      </c>
      <c r="N64" s="28" t="n">
        <v>98.1</v>
      </c>
      <c r="O64" s="29" t="n">
        <f aca="false">G64+ROW()/10000000</f>
        <v>130934000.000006</v>
      </c>
    </row>
    <row r="65" customFormat="false" ht="15" hidden="false" customHeight="false" outlineLevel="0" collapsed="false">
      <c r="A65" s="25" t="n">
        <v>61</v>
      </c>
      <c r="B65" s="25" t="s">
        <v>189</v>
      </c>
      <c r="C65" s="25" t="s">
        <v>20</v>
      </c>
      <c r="D65" s="25" t="s">
        <v>69</v>
      </c>
      <c r="E65" s="25" t="n">
        <v>2005</v>
      </c>
      <c r="F65" s="26" t="n">
        <v>90501000</v>
      </c>
      <c r="G65" s="26" t="n">
        <v>218870000</v>
      </c>
      <c r="H65" s="27" t="n">
        <v>6.7</v>
      </c>
      <c r="I65" s="25" t="n">
        <v>113</v>
      </c>
      <c r="J65" s="25" t="s">
        <v>45</v>
      </c>
      <c r="K65" s="25" t="s">
        <v>154</v>
      </c>
      <c r="L65" s="25" t="s">
        <v>51</v>
      </c>
      <c r="M65" s="26" t="n">
        <v>128369000</v>
      </c>
      <c r="N65" s="28" t="n">
        <v>141.8</v>
      </c>
      <c r="O65" s="29" t="n">
        <f aca="false">G65+ROW()/10000000</f>
        <v>218870000.000007</v>
      </c>
    </row>
    <row r="66" customFormat="false" ht="15" hidden="false" customHeight="false" outlineLevel="0" collapsed="false">
      <c r="A66" s="25" t="n">
        <v>62</v>
      </c>
      <c r="B66" s="25" t="s">
        <v>190</v>
      </c>
      <c r="C66" s="25" t="s">
        <v>47</v>
      </c>
      <c r="D66" s="25" t="s">
        <v>46</v>
      </c>
      <c r="E66" s="25" t="n">
        <v>2005</v>
      </c>
      <c r="F66" s="26" t="n">
        <v>5273000</v>
      </c>
      <c r="G66" s="26" t="n">
        <v>5296000</v>
      </c>
      <c r="H66" s="27" t="n">
        <v>5.8</v>
      </c>
      <c r="I66" s="25" t="n">
        <v>112</v>
      </c>
      <c r="J66" s="25" t="s">
        <v>36</v>
      </c>
      <c r="K66" s="25" t="s">
        <v>170</v>
      </c>
      <c r="L66" s="25" t="s">
        <v>141</v>
      </c>
      <c r="M66" s="26" t="n">
        <v>23000</v>
      </c>
      <c r="N66" s="28" t="n">
        <v>0.4</v>
      </c>
      <c r="O66" s="29" t="n">
        <f aca="false">G66+ROW()/10000000</f>
        <v>5296000.0000066</v>
      </c>
    </row>
    <row r="67" customFormat="false" ht="15" hidden="false" customHeight="false" outlineLevel="0" collapsed="false">
      <c r="A67" s="25" t="n">
        <v>63</v>
      </c>
      <c r="B67" s="25" t="s">
        <v>191</v>
      </c>
      <c r="C67" s="25" t="s">
        <v>35</v>
      </c>
      <c r="D67" s="25" t="s">
        <v>31</v>
      </c>
      <c r="E67" s="25" t="n">
        <v>2005</v>
      </c>
      <c r="F67" s="26" t="n">
        <v>1661000</v>
      </c>
      <c r="G67" s="26" t="n">
        <v>5977000</v>
      </c>
      <c r="H67" s="27" t="n">
        <v>5.8</v>
      </c>
      <c r="I67" s="25" t="n">
        <v>123</v>
      </c>
      <c r="J67" s="25" t="s">
        <v>48</v>
      </c>
      <c r="K67" s="25" t="s">
        <v>116</v>
      </c>
      <c r="L67" s="25" t="s">
        <v>146</v>
      </c>
      <c r="M67" s="26" t="n">
        <v>4316000</v>
      </c>
      <c r="N67" s="28" t="n">
        <v>259.8</v>
      </c>
      <c r="O67" s="29" t="n">
        <f aca="false">G67+ROW()/10000000</f>
        <v>5977000.0000067</v>
      </c>
    </row>
    <row r="68" customFormat="false" ht="15" hidden="false" customHeight="false" outlineLevel="0" collapsed="false">
      <c r="A68" s="25" t="n">
        <v>64</v>
      </c>
      <c r="B68" s="25" t="s">
        <v>192</v>
      </c>
      <c r="C68" s="25" t="s">
        <v>35</v>
      </c>
      <c r="D68" s="25" t="s">
        <v>66</v>
      </c>
      <c r="E68" s="25" t="n">
        <v>2006</v>
      </c>
      <c r="F68" s="26" t="n">
        <v>9244000</v>
      </c>
      <c r="G68" s="26" t="n">
        <v>46840000</v>
      </c>
      <c r="H68" s="27" t="n">
        <v>4.8</v>
      </c>
      <c r="I68" s="25" t="n">
        <v>102</v>
      </c>
      <c r="J68" s="25" t="s">
        <v>30</v>
      </c>
      <c r="K68" s="25" t="s">
        <v>51</v>
      </c>
      <c r="L68" s="25" t="s">
        <v>146</v>
      </c>
      <c r="M68" s="26" t="n">
        <v>37596000</v>
      </c>
      <c r="N68" s="28" t="n">
        <v>406.7</v>
      </c>
      <c r="O68" s="29" t="n">
        <f aca="false">G68+ROW()/10000000</f>
        <v>46840000.0000068</v>
      </c>
    </row>
    <row r="69" customFormat="false" ht="15" hidden="false" customHeight="false" outlineLevel="0" collapsed="false">
      <c r="A69" s="25" t="n">
        <v>65</v>
      </c>
      <c r="B69" s="25" t="s">
        <v>193</v>
      </c>
      <c r="C69" s="25" t="s">
        <v>38</v>
      </c>
      <c r="D69" s="25" t="s">
        <v>31</v>
      </c>
      <c r="E69" s="25" t="n">
        <v>2006</v>
      </c>
      <c r="F69" s="26" t="n">
        <v>43658000</v>
      </c>
      <c r="G69" s="26" t="n">
        <v>54628500</v>
      </c>
      <c r="H69" s="27" t="n">
        <v>5.2</v>
      </c>
      <c r="I69" s="25" t="n">
        <v>125</v>
      </c>
      <c r="J69" s="25" t="s">
        <v>33</v>
      </c>
      <c r="K69" s="25" t="s">
        <v>118</v>
      </c>
      <c r="L69" s="25" t="s">
        <v>109</v>
      </c>
      <c r="M69" s="26" t="n">
        <v>10970500</v>
      </c>
      <c r="N69" s="28" t="n">
        <v>25.1</v>
      </c>
      <c r="O69" s="29" t="n">
        <f aca="false">G69+ROW()/10000000</f>
        <v>54628500.0000069</v>
      </c>
    </row>
    <row r="70" customFormat="false" ht="15" hidden="false" customHeight="false" outlineLevel="0" collapsed="false">
      <c r="A70" s="25" t="n">
        <v>66</v>
      </c>
      <c r="B70" s="25" t="s">
        <v>194</v>
      </c>
      <c r="C70" s="25" t="s">
        <v>32</v>
      </c>
      <c r="D70" s="25" t="s">
        <v>56</v>
      </c>
      <c r="E70" s="25" t="n">
        <v>2006</v>
      </c>
      <c r="F70" s="26" t="n">
        <v>37330000</v>
      </c>
      <c r="G70" s="26" t="n">
        <v>129609000</v>
      </c>
      <c r="H70" s="27" t="n">
        <v>6.8</v>
      </c>
      <c r="I70" s="25" t="n">
        <v>161</v>
      </c>
      <c r="J70" s="25" t="s">
        <v>45</v>
      </c>
      <c r="K70" s="25" t="s">
        <v>139</v>
      </c>
      <c r="L70" s="25" t="s">
        <v>109</v>
      </c>
      <c r="M70" s="26" t="n">
        <v>92279000</v>
      </c>
      <c r="N70" s="28" t="n">
        <v>247.2</v>
      </c>
      <c r="O70" s="29" t="n">
        <f aca="false">G70+ROW()/10000000</f>
        <v>129609000.000007</v>
      </c>
    </row>
    <row r="71" customFormat="false" ht="15" hidden="false" customHeight="false" outlineLevel="0" collapsed="false">
      <c r="A71" s="25" t="n">
        <v>67</v>
      </c>
      <c r="B71" s="25" t="s">
        <v>195</v>
      </c>
      <c r="C71" s="25" t="s">
        <v>29</v>
      </c>
      <c r="D71" s="25" t="s">
        <v>62</v>
      </c>
      <c r="E71" s="25" t="n">
        <v>2006</v>
      </c>
      <c r="F71" s="26" t="n">
        <v>29778000</v>
      </c>
      <c r="G71" s="26" t="n">
        <v>59842000</v>
      </c>
      <c r="H71" s="27" t="n">
        <v>6.9</v>
      </c>
      <c r="I71" s="25" t="n">
        <v>118</v>
      </c>
      <c r="J71" s="25" t="s">
        <v>27</v>
      </c>
      <c r="K71" s="25" t="s">
        <v>121</v>
      </c>
      <c r="L71" s="25" t="s">
        <v>119</v>
      </c>
      <c r="M71" s="26" t="n">
        <v>30064000</v>
      </c>
      <c r="N71" s="28" t="n">
        <v>101</v>
      </c>
      <c r="O71" s="29" t="n">
        <f aca="false">G71+ROW()/10000000</f>
        <v>59842000.0000071</v>
      </c>
    </row>
    <row r="72" customFormat="false" ht="15" hidden="false" customHeight="false" outlineLevel="0" collapsed="false">
      <c r="A72" s="25" t="n">
        <v>68</v>
      </c>
      <c r="B72" s="25" t="s">
        <v>196</v>
      </c>
      <c r="C72" s="25" t="s">
        <v>38</v>
      </c>
      <c r="D72" s="25" t="s">
        <v>54</v>
      </c>
      <c r="E72" s="25" t="n">
        <v>2006</v>
      </c>
      <c r="F72" s="26" t="n">
        <v>33723000</v>
      </c>
      <c r="G72" s="26" t="n">
        <v>94304000</v>
      </c>
      <c r="H72" s="27" t="n">
        <v>8.9</v>
      </c>
      <c r="I72" s="25" t="n">
        <v>95</v>
      </c>
      <c r="J72" s="25" t="s">
        <v>27</v>
      </c>
      <c r="K72" s="25" t="s">
        <v>139</v>
      </c>
      <c r="L72" s="25" t="s">
        <v>128</v>
      </c>
      <c r="M72" s="26" t="n">
        <v>60581000</v>
      </c>
      <c r="N72" s="28" t="n">
        <v>179.6</v>
      </c>
      <c r="O72" s="29" t="n">
        <f aca="false">G72+ROW()/10000000</f>
        <v>94304000.0000072</v>
      </c>
    </row>
    <row r="73" customFormat="false" ht="15" hidden="false" customHeight="false" outlineLevel="0" collapsed="false">
      <c r="A73" s="25" t="n">
        <v>69</v>
      </c>
      <c r="B73" s="25" t="s">
        <v>197</v>
      </c>
      <c r="C73" s="25" t="s">
        <v>41</v>
      </c>
      <c r="D73" s="25" t="s">
        <v>28</v>
      </c>
      <c r="E73" s="25" t="n">
        <v>2006</v>
      </c>
      <c r="F73" s="26" t="n">
        <v>53920000</v>
      </c>
      <c r="G73" s="26" t="n">
        <v>204108000</v>
      </c>
      <c r="H73" s="27" t="n">
        <v>7.2</v>
      </c>
      <c r="I73" s="25" t="n">
        <v>105</v>
      </c>
      <c r="J73" s="25" t="s">
        <v>27</v>
      </c>
      <c r="K73" s="25" t="s">
        <v>51</v>
      </c>
      <c r="L73" s="25" t="s">
        <v>141</v>
      </c>
      <c r="M73" s="26" t="n">
        <v>150188000</v>
      </c>
      <c r="N73" s="28" t="n">
        <v>278.5</v>
      </c>
      <c r="O73" s="29" t="n">
        <f aca="false">G73+ROW()/10000000</f>
        <v>204108000.000007</v>
      </c>
    </row>
    <row r="74" customFormat="false" ht="15" hidden="false" customHeight="false" outlineLevel="0" collapsed="false">
      <c r="A74" s="25" t="n">
        <v>70</v>
      </c>
      <c r="B74" s="25" t="s">
        <v>198</v>
      </c>
      <c r="C74" s="25" t="s">
        <v>23</v>
      </c>
      <c r="D74" s="25" t="s">
        <v>68</v>
      </c>
      <c r="E74" s="25" t="n">
        <v>2006</v>
      </c>
      <c r="F74" s="26" t="n">
        <v>66988000</v>
      </c>
      <c r="G74" s="26" t="n">
        <v>235993000</v>
      </c>
      <c r="H74" s="27" t="n">
        <v>6.6</v>
      </c>
      <c r="I74" s="25" t="n">
        <v>131</v>
      </c>
      <c r="J74" s="25" t="s">
        <v>33</v>
      </c>
      <c r="K74" s="25" t="s">
        <v>139</v>
      </c>
      <c r="L74" s="25" t="s">
        <v>119</v>
      </c>
      <c r="M74" s="26" t="n">
        <v>169005000</v>
      </c>
      <c r="N74" s="28" t="n">
        <v>252.3</v>
      </c>
      <c r="O74" s="29" t="n">
        <f aca="false">G74+ROW()/10000000</f>
        <v>235993000.000007</v>
      </c>
    </row>
    <row r="75" customFormat="false" ht="15" hidden="false" customHeight="false" outlineLevel="0" collapsed="false">
      <c r="A75" s="25" t="n">
        <v>71</v>
      </c>
      <c r="B75" s="25" t="s">
        <v>199</v>
      </c>
      <c r="C75" s="25" t="s">
        <v>38</v>
      </c>
      <c r="D75" s="25" t="s">
        <v>77</v>
      </c>
      <c r="E75" s="25" t="n">
        <v>2007</v>
      </c>
      <c r="F75" s="26" t="n">
        <v>18730000</v>
      </c>
      <c r="G75" s="26" t="n">
        <v>163835000</v>
      </c>
      <c r="H75" s="27" t="n">
        <v>6.4</v>
      </c>
      <c r="I75" s="25" t="n">
        <v>100</v>
      </c>
      <c r="J75" s="25" t="s">
        <v>42</v>
      </c>
      <c r="K75" s="25" t="s">
        <v>111</v>
      </c>
      <c r="L75" s="25" t="s">
        <v>141</v>
      </c>
      <c r="M75" s="26" t="n">
        <v>145105000</v>
      </c>
      <c r="N75" s="28" t="n">
        <v>774.7</v>
      </c>
      <c r="O75" s="29" t="n">
        <f aca="false">G75+ROW()/10000000</f>
        <v>163835000.000008</v>
      </c>
    </row>
    <row r="76" customFormat="false" ht="15" hidden="false" customHeight="false" outlineLevel="0" collapsed="false">
      <c r="A76" s="25" t="n">
        <v>72</v>
      </c>
      <c r="B76" s="25" t="s">
        <v>200</v>
      </c>
      <c r="C76" s="25" t="s">
        <v>26</v>
      </c>
      <c r="D76" s="25" t="s">
        <v>62</v>
      </c>
      <c r="E76" s="25" t="n">
        <v>2007</v>
      </c>
      <c r="F76" s="26" t="n">
        <v>63024000</v>
      </c>
      <c r="G76" s="26" t="n">
        <v>103590000</v>
      </c>
      <c r="H76" s="27" t="n">
        <v>6.2</v>
      </c>
      <c r="I76" s="25" t="n">
        <v>75</v>
      </c>
      <c r="J76" s="25" t="s">
        <v>42</v>
      </c>
      <c r="K76" s="25" t="s">
        <v>118</v>
      </c>
      <c r="L76" s="25" t="s">
        <v>184</v>
      </c>
      <c r="M76" s="26" t="n">
        <v>40566000</v>
      </c>
      <c r="N76" s="28" t="n">
        <v>64.4</v>
      </c>
      <c r="O76" s="29" t="n">
        <f aca="false">G76+ROW()/10000000</f>
        <v>103590000.000008</v>
      </c>
    </row>
    <row r="77" customFormat="false" ht="15" hidden="false" customHeight="false" outlineLevel="0" collapsed="false">
      <c r="A77" s="25" t="n">
        <v>73</v>
      </c>
      <c r="B77" s="25" t="s">
        <v>201</v>
      </c>
      <c r="C77" s="25" t="s">
        <v>26</v>
      </c>
      <c r="D77" s="25" t="s">
        <v>28</v>
      </c>
      <c r="E77" s="25" t="n">
        <v>2007</v>
      </c>
      <c r="F77" s="26" t="n">
        <v>104224000</v>
      </c>
      <c r="G77" s="26" t="n">
        <v>134427000</v>
      </c>
      <c r="H77" s="27" t="n">
        <v>7.5</v>
      </c>
      <c r="I77" s="25" t="n">
        <v>139</v>
      </c>
      <c r="J77" s="25" t="s">
        <v>45</v>
      </c>
      <c r="K77" s="25" t="s">
        <v>139</v>
      </c>
      <c r="L77" s="25" t="s">
        <v>51</v>
      </c>
      <c r="M77" s="26" t="n">
        <v>30203000</v>
      </c>
      <c r="N77" s="28" t="n">
        <v>29</v>
      </c>
      <c r="O77" s="29" t="n">
        <f aca="false">G77+ROW()/10000000</f>
        <v>134427000.000008</v>
      </c>
    </row>
    <row r="78" customFormat="false" ht="15" hidden="false" customHeight="false" outlineLevel="0" collapsed="false">
      <c r="A78" s="25" t="n">
        <v>74</v>
      </c>
      <c r="B78" s="25" t="s">
        <v>202</v>
      </c>
      <c r="C78" s="25" t="s">
        <v>50</v>
      </c>
      <c r="D78" s="25" t="s">
        <v>57</v>
      </c>
      <c r="E78" s="25" t="n">
        <v>2007</v>
      </c>
      <c r="F78" s="26" t="n">
        <v>69746000</v>
      </c>
      <c r="G78" s="26" t="n">
        <v>63388000</v>
      </c>
      <c r="H78" s="27" t="n">
        <v>5.8</v>
      </c>
      <c r="I78" s="25" t="n">
        <v>90</v>
      </c>
      <c r="J78" s="25" t="s">
        <v>45</v>
      </c>
      <c r="K78" s="25" t="s">
        <v>103</v>
      </c>
      <c r="L78" s="25" t="s">
        <v>107</v>
      </c>
      <c r="M78" s="26" t="n">
        <v>-6358000</v>
      </c>
      <c r="N78" s="28" t="n">
        <v>-9.1</v>
      </c>
      <c r="O78" s="29" t="n">
        <f aca="false">G78+ROW()/10000000</f>
        <v>63388000.0000078</v>
      </c>
    </row>
    <row r="79" customFormat="false" ht="15" hidden="false" customHeight="false" outlineLevel="0" collapsed="false">
      <c r="A79" s="25" t="n">
        <v>75</v>
      </c>
      <c r="B79" s="25" t="s">
        <v>203</v>
      </c>
      <c r="C79" s="25" t="s">
        <v>32</v>
      </c>
      <c r="D79" s="25" t="s">
        <v>58</v>
      </c>
      <c r="E79" s="25" t="n">
        <v>2007</v>
      </c>
      <c r="F79" s="26" t="n">
        <v>37957000</v>
      </c>
      <c r="G79" s="26" t="n">
        <v>150899000</v>
      </c>
      <c r="H79" s="27" t="n">
        <v>6.1</v>
      </c>
      <c r="I79" s="25" t="n">
        <v>135</v>
      </c>
      <c r="J79" s="25" t="s">
        <v>27</v>
      </c>
      <c r="K79" s="25" t="s">
        <v>118</v>
      </c>
      <c r="L79" s="25" t="s">
        <v>119</v>
      </c>
      <c r="M79" s="26" t="n">
        <v>112942000</v>
      </c>
      <c r="N79" s="28" t="n">
        <v>297.6</v>
      </c>
      <c r="O79" s="29" t="n">
        <f aca="false">G79+ROW()/10000000</f>
        <v>150899000.000008</v>
      </c>
    </row>
    <row r="80" customFormat="false" ht="15" hidden="false" customHeight="false" outlineLevel="0" collapsed="false">
      <c r="A80" s="25" t="n">
        <v>76</v>
      </c>
      <c r="B80" s="25" t="s">
        <v>204</v>
      </c>
      <c r="C80" s="25" t="s">
        <v>35</v>
      </c>
      <c r="D80" s="25" t="s">
        <v>54</v>
      </c>
      <c r="E80" s="25" t="n">
        <v>2007</v>
      </c>
      <c r="F80" s="26" t="n">
        <v>5987000</v>
      </c>
      <c r="G80" s="26" t="n">
        <v>16759000</v>
      </c>
      <c r="H80" s="27" t="n">
        <v>5.6</v>
      </c>
      <c r="I80" s="25" t="n">
        <v>126</v>
      </c>
      <c r="J80" s="25" t="s">
        <v>42</v>
      </c>
      <c r="K80" s="25" t="s">
        <v>121</v>
      </c>
      <c r="L80" s="25" t="s">
        <v>131</v>
      </c>
      <c r="M80" s="26" t="n">
        <v>10772000</v>
      </c>
      <c r="N80" s="28" t="n">
        <v>179.9</v>
      </c>
      <c r="O80" s="29" t="n">
        <f aca="false">G80+ROW()/10000000</f>
        <v>16759000.000008</v>
      </c>
    </row>
    <row r="81" customFormat="false" ht="15" hidden="false" customHeight="false" outlineLevel="0" collapsed="false">
      <c r="A81" s="25" t="n">
        <v>77</v>
      </c>
      <c r="B81" s="25" t="s">
        <v>205</v>
      </c>
      <c r="C81" s="25" t="s">
        <v>44</v>
      </c>
      <c r="D81" s="25" t="s">
        <v>40</v>
      </c>
      <c r="E81" s="25" t="n">
        <v>2007</v>
      </c>
      <c r="F81" s="26" t="n">
        <v>11396000</v>
      </c>
      <c r="G81" s="26" t="n">
        <v>22853000</v>
      </c>
      <c r="H81" s="27" t="n">
        <v>5.8</v>
      </c>
      <c r="I81" s="25" t="n">
        <v>149</v>
      </c>
      <c r="J81" s="25" t="s">
        <v>48</v>
      </c>
      <c r="K81" s="25" t="s">
        <v>121</v>
      </c>
      <c r="L81" s="25" t="s">
        <v>107</v>
      </c>
      <c r="M81" s="26" t="n">
        <v>11457000</v>
      </c>
      <c r="N81" s="28" t="n">
        <v>100.5</v>
      </c>
      <c r="O81" s="29" t="n">
        <f aca="false">G81+ROW()/10000000</f>
        <v>22853000.0000081</v>
      </c>
    </row>
    <row r="82" customFormat="false" ht="15" hidden="false" customHeight="false" outlineLevel="0" collapsed="false">
      <c r="A82" s="25" t="n">
        <v>78</v>
      </c>
      <c r="B82" s="25" t="s">
        <v>206</v>
      </c>
      <c r="C82" s="25" t="s">
        <v>41</v>
      </c>
      <c r="D82" s="25" t="s">
        <v>54</v>
      </c>
      <c r="E82" s="25" t="n">
        <v>2007</v>
      </c>
      <c r="F82" s="26" t="n">
        <v>102937000</v>
      </c>
      <c r="G82" s="26" t="n">
        <v>64222000</v>
      </c>
      <c r="H82" s="27" t="n">
        <v>5</v>
      </c>
      <c r="I82" s="25" t="n">
        <v>115</v>
      </c>
      <c r="J82" s="25" t="s">
        <v>24</v>
      </c>
      <c r="K82" s="25" t="s">
        <v>152</v>
      </c>
      <c r="L82" s="25" t="s">
        <v>146</v>
      </c>
      <c r="M82" s="26" t="n">
        <v>-38715000</v>
      </c>
      <c r="N82" s="28" t="n">
        <v>-37.6</v>
      </c>
      <c r="O82" s="29" t="n">
        <f aca="false">G82+ROW()/10000000</f>
        <v>64222000.0000082</v>
      </c>
    </row>
    <row r="83" customFormat="false" ht="15" hidden="false" customHeight="false" outlineLevel="0" collapsed="false">
      <c r="A83" s="25" t="n">
        <v>79</v>
      </c>
      <c r="B83" s="25" t="s">
        <v>207</v>
      </c>
      <c r="C83" s="25" t="s">
        <v>35</v>
      </c>
      <c r="D83" s="25" t="s">
        <v>67</v>
      </c>
      <c r="E83" s="25" t="n">
        <v>2007</v>
      </c>
      <c r="F83" s="26" t="n">
        <v>5455000</v>
      </c>
      <c r="G83" s="26" t="n">
        <v>33499000</v>
      </c>
      <c r="H83" s="27" t="n">
        <v>4.7</v>
      </c>
      <c r="I83" s="25" t="n">
        <v>115</v>
      </c>
      <c r="J83" s="25" t="s">
        <v>30</v>
      </c>
      <c r="K83" s="25" t="s">
        <v>111</v>
      </c>
      <c r="L83" s="25" t="s">
        <v>128</v>
      </c>
      <c r="M83" s="26" t="n">
        <v>28044000</v>
      </c>
      <c r="N83" s="28" t="n">
        <v>514.1</v>
      </c>
      <c r="O83" s="29" t="n">
        <f aca="false">G83+ROW()/10000000</f>
        <v>33499000.0000083</v>
      </c>
    </row>
    <row r="84" customFormat="false" ht="15" hidden="false" customHeight="false" outlineLevel="0" collapsed="false">
      <c r="A84" s="25" t="n">
        <v>80</v>
      </c>
      <c r="B84" s="25" t="s">
        <v>208</v>
      </c>
      <c r="C84" s="25" t="s">
        <v>20</v>
      </c>
      <c r="D84" s="25" t="s">
        <v>37</v>
      </c>
      <c r="E84" s="25" t="n">
        <v>2008</v>
      </c>
      <c r="F84" s="26" t="n">
        <v>93587000</v>
      </c>
      <c r="G84" s="26" t="n">
        <v>161817000</v>
      </c>
      <c r="H84" s="27" t="n">
        <v>4.8</v>
      </c>
      <c r="I84" s="25" t="n">
        <v>113</v>
      </c>
      <c r="J84" s="25" t="s">
        <v>42</v>
      </c>
      <c r="K84" s="25" t="s">
        <v>152</v>
      </c>
      <c r="L84" s="25" t="s">
        <v>109</v>
      </c>
      <c r="M84" s="26" t="n">
        <v>68230000</v>
      </c>
      <c r="N84" s="28" t="n">
        <v>72.9</v>
      </c>
      <c r="O84" s="29" t="n">
        <f aca="false">G84+ROW()/10000000</f>
        <v>161817000.000008</v>
      </c>
    </row>
    <row r="85" customFormat="false" ht="15" hidden="false" customHeight="false" outlineLevel="0" collapsed="false">
      <c r="A85" s="25" t="n">
        <v>81</v>
      </c>
      <c r="B85" s="25" t="s">
        <v>209</v>
      </c>
      <c r="C85" s="25" t="s">
        <v>23</v>
      </c>
      <c r="D85" s="25" t="s">
        <v>60</v>
      </c>
      <c r="E85" s="25" t="n">
        <v>2008</v>
      </c>
      <c r="F85" s="26" t="n">
        <v>113231000</v>
      </c>
      <c r="G85" s="26" t="n">
        <v>152960000</v>
      </c>
      <c r="H85" s="27" t="n">
        <v>6.6</v>
      </c>
      <c r="I85" s="25" t="n">
        <v>102</v>
      </c>
      <c r="J85" s="25" t="s">
        <v>24</v>
      </c>
      <c r="K85" s="25" t="s">
        <v>125</v>
      </c>
      <c r="L85" s="25" t="s">
        <v>104</v>
      </c>
      <c r="M85" s="26" t="n">
        <v>39729000</v>
      </c>
      <c r="N85" s="28" t="n">
        <v>35.1</v>
      </c>
      <c r="O85" s="29" t="n">
        <f aca="false">G85+ROW()/10000000</f>
        <v>152960000.000009</v>
      </c>
    </row>
    <row r="86" customFormat="false" ht="15" hidden="false" customHeight="false" outlineLevel="0" collapsed="false">
      <c r="A86" s="25" t="n">
        <v>82</v>
      </c>
      <c r="B86" s="25" t="s">
        <v>210</v>
      </c>
      <c r="C86" s="25" t="s">
        <v>41</v>
      </c>
      <c r="D86" s="25" t="s">
        <v>28</v>
      </c>
      <c r="E86" s="25" t="n">
        <v>2008</v>
      </c>
      <c r="F86" s="26" t="n">
        <v>109104000</v>
      </c>
      <c r="G86" s="26" t="n">
        <v>175828000</v>
      </c>
      <c r="H86" s="27" t="n">
        <v>6.6</v>
      </c>
      <c r="I86" s="25" t="n">
        <v>108</v>
      </c>
      <c r="J86" s="25" t="s">
        <v>24</v>
      </c>
      <c r="K86" s="25" t="s">
        <v>111</v>
      </c>
      <c r="L86" s="25" t="s">
        <v>109</v>
      </c>
      <c r="M86" s="26" t="n">
        <v>66724000</v>
      </c>
      <c r="N86" s="28" t="n">
        <v>61.2</v>
      </c>
      <c r="O86" s="29" t="n">
        <f aca="false">G86+ROW()/10000000</f>
        <v>175828000.000009</v>
      </c>
    </row>
    <row r="87" customFormat="false" ht="15" hidden="false" customHeight="false" outlineLevel="0" collapsed="false">
      <c r="A87" s="25" t="n">
        <v>83</v>
      </c>
      <c r="B87" s="25" t="s">
        <v>211</v>
      </c>
      <c r="C87" s="25" t="s">
        <v>53</v>
      </c>
      <c r="D87" s="25" t="s">
        <v>57</v>
      </c>
      <c r="E87" s="25" t="n">
        <v>2008</v>
      </c>
      <c r="F87" s="26" t="n">
        <v>27788000</v>
      </c>
      <c r="G87" s="26" t="n">
        <v>19321000</v>
      </c>
      <c r="H87" s="27" t="n">
        <v>4.7</v>
      </c>
      <c r="I87" s="25" t="n">
        <v>112</v>
      </c>
      <c r="J87" s="25" t="s">
        <v>42</v>
      </c>
      <c r="K87" s="25" t="s">
        <v>103</v>
      </c>
      <c r="L87" s="25" t="s">
        <v>109</v>
      </c>
      <c r="M87" s="26" t="n">
        <v>-8467000</v>
      </c>
      <c r="N87" s="28" t="n">
        <v>-30.5</v>
      </c>
      <c r="O87" s="29" t="n">
        <f aca="false">G87+ROW()/10000000</f>
        <v>19321000.0000087</v>
      </c>
    </row>
    <row r="88" customFormat="false" ht="15" hidden="false" customHeight="false" outlineLevel="0" collapsed="false">
      <c r="A88" s="25" t="n">
        <v>84</v>
      </c>
      <c r="B88" s="25" t="s">
        <v>212</v>
      </c>
      <c r="C88" s="25" t="s">
        <v>32</v>
      </c>
      <c r="D88" s="25" t="s">
        <v>59</v>
      </c>
      <c r="E88" s="25" t="n">
        <v>2008</v>
      </c>
      <c r="F88" s="26" t="n">
        <v>42271000</v>
      </c>
      <c r="G88" s="26" t="n">
        <v>303996000</v>
      </c>
      <c r="H88" s="27" t="n">
        <v>6.4</v>
      </c>
      <c r="I88" s="25" t="n">
        <v>120</v>
      </c>
      <c r="J88" s="25" t="s">
        <v>33</v>
      </c>
      <c r="K88" s="25" t="s">
        <v>125</v>
      </c>
      <c r="L88" s="25" t="s">
        <v>51</v>
      </c>
      <c r="M88" s="26" t="n">
        <v>261725000</v>
      </c>
      <c r="N88" s="28" t="n">
        <v>619.2</v>
      </c>
      <c r="O88" s="29" t="n">
        <f aca="false">G88+ROW()/10000000</f>
        <v>303996000.000009</v>
      </c>
    </row>
    <row r="89" customFormat="false" ht="15" hidden="false" customHeight="false" outlineLevel="0" collapsed="false">
      <c r="A89" s="25" t="n">
        <v>85</v>
      </c>
      <c r="B89" s="25" t="s">
        <v>213</v>
      </c>
      <c r="C89" s="25" t="s">
        <v>41</v>
      </c>
      <c r="D89" s="25" t="s">
        <v>72</v>
      </c>
      <c r="E89" s="25" t="n">
        <v>2008</v>
      </c>
      <c r="F89" s="26" t="n">
        <v>125876000</v>
      </c>
      <c r="G89" s="26" t="n">
        <v>800043000</v>
      </c>
      <c r="H89" s="27" t="n">
        <v>6.4</v>
      </c>
      <c r="I89" s="25" t="n">
        <v>132</v>
      </c>
      <c r="J89" s="25" t="s">
        <v>27</v>
      </c>
      <c r="K89" s="25" t="s">
        <v>121</v>
      </c>
      <c r="L89" s="25" t="s">
        <v>128</v>
      </c>
      <c r="M89" s="26" t="n">
        <v>674167000</v>
      </c>
      <c r="N89" s="28" t="n">
        <v>535.6</v>
      </c>
      <c r="O89" s="29" t="n">
        <f aca="false">G89+ROW()/10000000</f>
        <v>800043000.000009</v>
      </c>
    </row>
    <row r="90" customFormat="false" ht="15" hidden="false" customHeight="false" outlineLevel="0" collapsed="false">
      <c r="A90" s="25" t="n">
        <v>86</v>
      </c>
      <c r="B90" s="25" t="s">
        <v>214</v>
      </c>
      <c r="C90" s="25" t="s">
        <v>38</v>
      </c>
      <c r="D90" s="25" t="s">
        <v>59</v>
      </c>
      <c r="E90" s="25" t="n">
        <v>2008</v>
      </c>
      <c r="F90" s="26" t="n">
        <v>34540000</v>
      </c>
      <c r="G90" s="26" t="n">
        <v>134034000</v>
      </c>
      <c r="H90" s="27" t="n">
        <v>6.2</v>
      </c>
      <c r="I90" s="25" t="n">
        <v>127</v>
      </c>
      <c r="J90" s="25" t="s">
        <v>24</v>
      </c>
      <c r="K90" s="25" t="s">
        <v>121</v>
      </c>
      <c r="L90" s="25" t="s">
        <v>131</v>
      </c>
      <c r="M90" s="26" t="n">
        <v>99494000</v>
      </c>
      <c r="N90" s="28" t="n">
        <v>288.1</v>
      </c>
      <c r="O90" s="29" t="n">
        <f aca="false">G90+ROW()/10000000</f>
        <v>134034000.000009</v>
      </c>
    </row>
    <row r="91" customFormat="false" ht="15" hidden="false" customHeight="false" outlineLevel="0" collapsed="false">
      <c r="A91" s="25" t="n">
        <v>87</v>
      </c>
      <c r="B91" s="25" t="s">
        <v>215</v>
      </c>
      <c r="C91" s="25" t="s">
        <v>26</v>
      </c>
      <c r="D91" s="25" t="s">
        <v>55</v>
      </c>
      <c r="E91" s="25" t="n">
        <v>2008</v>
      </c>
      <c r="F91" s="26" t="n">
        <v>108787000</v>
      </c>
      <c r="G91" s="26" t="n">
        <v>331790000</v>
      </c>
      <c r="H91" s="27" t="n">
        <v>7.4</v>
      </c>
      <c r="I91" s="25" t="n">
        <v>124</v>
      </c>
      <c r="J91" s="25" t="s">
        <v>30</v>
      </c>
      <c r="K91" s="25" t="s">
        <v>148</v>
      </c>
      <c r="L91" s="25" t="s">
        <v>146</v>
      </c>
      <c r="M91" s="26" t="n">
        <v>223003000</v>
      </c>
      <c r="N91" s="28" t="n">
        <v>205</v>
      </c>
      <c r="O91" s="29" t="n">
        <f aca="false">G91+ROW()/10000000</f>
        <v>331790000.000009</v>
      </c>
    </row>
    <row r="92" customFormat="false" ht="15" hidden="false" customHeight="false" outlineLevel="0" collapsed="false">
      <c r="A92" s="25" t="n">
        <v>88</v>
      </c>
      <c r="B92" s="25" t="s">
        <v>216</v>
      </c>
      <c r="C92" s="25" t="s">
        <v>47</v>
      </c>
      <c r="D92" s="25" t="s">
        <v>77</v>
      </c>
      <c r="E92" s="25" t="n">
        <v>2009</v>
      </c>
      <c r="F92" s="26" t="n">
        <v>30046000</v>
      </c>
      <c r="G92" s="26" t="n">
        <v>39508000</v>
      </c>
      <c r="H92" s="27" t="n">
        <v>6.3</v>
      </c>
      <c r="I92" s="25" t="n">
        <v>103</v>
      </c>
      <c r="J92" s="25" t="s">
        <v>33</v>
      </c>
      <c r="K92" s="25" t="s">
        <v>181</v>
      </c>
      <c r="L92" s="25" t="s">
        <v>107</v>
      </c>
      <c r="M92" s="26" t="n">
        <v>9462000</v>
      </c>
      <c r="N92" s="28" t="n">
        <v>31.5</v>
      </c>
      <c r="O92" s="29" t="n">
        <f aca="false">G92+ROW()/10000000</f>
        <v>39508000.0000092</v>
      </c>
    </row>
    <row r="93" customFormat="false" ht="15" hidden="false" customHeight="false" outlineLevel="0" collapsed="false">
      <c r="A93" s="25" t="n">
        <v>89</v>
      </c>
      <c r="B93" s="25" t="s">
        <v>217</v>
      </c>
      <c r="C93" s="25" t="s">
        <v>29</v>
      </c>
      <c r="D93" s="25" t="s">
        <v>40</v>
      </c>
      <c r="E93" s="25" t="n">
        <v>2009</v>
      </c>
      <c r="F93" s="26" t="n">
        <v>1000000</v>
      </c>
      <c r="G93" s="26" t="n">
        <v>1408000</v>
      </c>
      <c r="H93" s="27" t="n">
        <v>7.1</v>
      </c>
      <c r="I93" s="25" t="n">
        <v>107</v>
      </c>
      <c r="J93" s="25" t="s">
        <v>27</v>
      </c>
      <c r="K93" s="25" t="s">
        <v>152</v>
      </c>
      <c r="L93" s="25" t="s">
        <v>122</v>
      </c>
      <c r="M93" s="26" t="n">
        <v>408000</v>
      </c>
      <c r="N93" s="28" t="n">
        <v>40.8</v>
      </c>
      <c r="O93" s="29" t="n">
        <f aca="false">G93+ROW()/10000000</f>
        <v>1408000.0000093</v>
      </c>
    </row>
    <row r="94" customFormat="false" ht="15" hidden="false" customHeight="false" outlineLevel="0" collapsed="false">
      <c r="A94" s="25" t="n">
        <v>90</v>
      </c>
      <c r="B94" s="25" t="s">
        <v>218</v>
      </c>
      <c r="C94" s="25" t="s">
        <v>41</v>
      </c>
      <c r="D94" s="25" t="s">
        <v>69</v>
      </c>
      <c r="E94" s="25" t="n">
        <v>2009</v>
      </c>
      <c r="F94" s="26" t="n">
        <v>90933000</v>
      </c>
      <c r="G94" s="26" t="n">
        <v>108359000</v>
      </c>
      <c r="H94" s="27" t="n">
        <v>5.9</v>
      </c>
      <c r="I94" s="25" t="n">
        <v>88</v>
      </c>
      <c r="J94" s="25" t="s">
        <v>42</v>
      </c>
      <c r="K94" s="25" t="s">
        <v>113</v>
      </c>
      <c r="L94" s="25" t="s">
        <v>122</v>
      </c>
      <c r="M94" s="26" t="n">
        <v>17426000</v>
      </c>
      <c r="N94" s="28" t="n">
        <v>19.2</v>
      </c>
      <c r="O94" s="29" t="n">
        <f aca="false">G94+ROW()/10000000</f>
        <v>108359000.000009</v>
      </c>
    </row>
    <row r="95" customFormat="false" ht="15" hidden="false" customHeight="false" outlineLevel="0" collapsed="false">
      <c r="A95" s="25" t="n">
        <v>91</v>
      </c>
      <c r="B95" s="25" t="s">
        <v>219</v>
      </c>
      <c r="C95" s="25" t="s">
        <v>20</v>
      </c>
      <c r="D95" s="25" t="s">
        <v>46</v>
      </c>
      <c r="E95" s="25" t="n">
        <v>2009</v>
      </c>
      <c r="F95" s="26" t="n">
        <v>17095000</v>
      </c>
      <c r="G95" s="26" t="n">
        <v>47909000</v>
      </c>
      <c r="H95" s="27" t="n">
        <v>5.8</v>
      </c>
      <c r="I95" s="25" t="n">
        <v>129</v>
      </c>
      <c r="J95" s="25" t="s">
        <v>36</v>
      </c>
      <c r="K95" s="25" t="s">
        <v>170</v>
      </c>
      <c r="L95" s="25" t="s">
        <v>107</v>
      </c>
      <c r="M95" s="26" t="n">
        <v>30814000</v>
      </c>
      <c r="N95" s="28" t="n">
        <v>180.3</v>
      </c>
      <c r="O95" s="29" t="n">
        <f aca="false">G95+ROW()/10000000</f>
        <v>47909000.0000095</v>
      </c>
    </row>
    <row r="96" customFormat="false" ht="15" hidden="false" customHeight="false" outlineLevel="0" collapsed="false">
      <c r="A96" s="25" t="n">
        <v>92</v>
      </c>
      <c r="B96" s="25" t="s">
        <v>220</v>
      </c>
      <c r="C96" s="25" t="s">
        <v>32</v>
      </c>
      <c r="D96" s="25" t="s">
        <v>72</v>
      </c>
      <c r="E96" s="25" t="n">
        <v>2009</v>
      </c>
      <c r="F96" s="26" t="n">
        <v>31560000</v>
      </c>
      <c r="G96" s="26" t="n">
        <v>64134000</v>
      </c>
      <c r="H96" s="27" t="n">
        <v>3.5</v>
      </c>
      <c r="I96" s="25" t="n">
        <v>110</v>
      </c>
      <c r="J96" s="25" t="s">
        <v>27</v>
      </c>
      <c r="K96" s="25" t="s">
        <v>148</v>
      </c>
      <c r="L96" s="25" t="s">
        <v>141</v>
      </c>
      <c r="M96" s="26" t="n">
        <v>32574000</v>
      </c>
      <c r="N96" s="28" t="n">
        <v>103.2</v>
      </c>
      <c r="O96" s="29" t="n">
        <f aca="false">G96+ROW()/10000000</f>
        <v>64134000.0000096</v>
      </c>
    </row>
    <row r="97" customFormat="false" ht="15" hidden="false" customHeight="false" outlineLevel="0" collapsed="false">
      <c r="A97" s="25" t="n">
        <v>93</v>
      </c>
      <c r="B97" s="25" t="s">
        <v>221</v>
      </c>
      <c r="C97" s="25" t="s">
        <v>41</v>
      </c>
      <c r="D97" s="25" t="s">
        <v>31</v>
      </c>
      <c r="E97" s="25" t="n">
        <v>2009</v>
      </c>
      <c r="F97" s="26" t="n">
        <v>70779000</v>
      </c>
      <c r="G97" s="26" t="n">
        <v>400165000</v>
      </c>
      <c r="H97" s="27" t="n">
        <v>8.1</v>
      </c>
      <c r="I97" s="25" t="n">
        <v>100</v>
      </c>
      <c r="J97" s="25" t="s">
        <v>39</v>
      </c>
      <c r="K97" s="25" t="s">
        <v>139</v>
      </c>
      <c r="L97" s="25" t="s">
        <v>104</v>
      </c>
      <c r="M97" s="26" t="n">
        <v>329386000</v>
      </c>
      <c r="N97" s="28" t="n">
        <v>465.4</v>
      </c>
      <c r="O97" s="29" t="n">
        <f aca="false">G97+ROW()/10000000</f>
        <v>400165000.00001</v>
      </c>
    </row>
    <row r="98" customFormat="false" ht="15" hidden="false" customHeight="false" outlineLevel="0" collapsed="false">
      <c r="A98" s="25" t="n">
        <v>94</v>
      </c>
      <c r="B98" s="25" t="s">
        <v>222</v>
      </c>
      <c r="C98" s="25" t="s">
        <v>32</v>
      </c>
      <c r="D98" s="25" t="s">
        <v>55</v>
      </c>
      <c r="E98" s="25" t="n">
        <v>2009</v>
      </c>
      <c r="F98" s="26" t="n">
        <v>36367000</v>
      </c>
      <c r="G98" s="26" t="n">
        <v>52069000</v>
      </c>
      <c r="H98" s="27" t="n">
        <v>6.5</v>
      </c>
      <c r="I98" s="25" t="n">
        <v>121</v>
      </c>
      <c r="J98" s="25" t="s">
        <v>45</v>
      </c>
      <c r="K98" s="25" t="s">
        <v>113</v>
      </c>
      <c r="L98" s="25" t="s">
        <v>141</v>
      </c>
      <c r="M98" s="26" t="n">
        <v>15702000</v>
      </c>
      <c r="N98" s="28" t="n">
        <v>43.2</v>
      </c>
      <c r="O98" s="29" t="n">
        <f aca="false">G98+ROW()/10000000</f>
        <v>52069000.0000098</v>
      </c>
    </row>
    <row r="99" customFormat="false" ht="15" hidden="false" customHeight="false" outlineLevel="0" collapsed="false">
      <c r="A99" s="25" t="n">
        <v>95</v>
      </c>
      <c r="B99" s="25" t="s">
        <v>223</v>
      </c>
      <c r="C99" s="25" t="s">
        <v>41</v>
      </c>
      <c r="D99" s="25" t="s">
        <v>61</v>
      </c>
      <c r="E99" s="25" t="n">
        <v>2009</v>
      </c>
      <c r="F99" s="26" t="n">
        <v>63091000</v>
      </c>
      <c r="G99" s="26" t="n">
        <v>102002000</v>
      </c>
      <c r="H99" s="27" t="n">
        <v>4.2</v>
      </c>
      <c r="I99" s="25" t="n">
        <v>101</v>
      </c>
      <c r="J99" s="25" t="s">
        <v>48</v>
      </c>
      <c r="K99" s="25" t="s">
        <v>121</v>
      </c>
      <c r="L99" s="25" t="s">
        <v>114</v>
      </c>
      <c r="M99" s="26" t="n">
        <v>38911000</v>
      </c>
      <c r="N99" s="28" t="n">
        <v>61.7</v>
      </c>
      <c r="O99" s="29" t="n">
        <f aca="false">G99+ROW()/10000000</f>
        <v>102002000.00001</v>
      </c>
    </row>
    <row r="100" customFormat="false" ht="15" hidden="false" customHeight="false" outlineLevel="0" collapsed="false">
      <c r="A100" s="25" t="n">
        <v>96</v>
      </c>
      <c r="B100" s="25" t="s">
        <v>224</v>
      </c>
      <c r="C100" s="25" t="s">
        <v>35</v>
      </c>
      <c r="D100" s="25" t="s">
        <v>68</v>
      </c>
      <c r="E100" s="25" t="n">
        <v>2010</v>
      </c>
      <c r="F100" s="26" t="n">
        <v>3569000</v>
      </c>
      <c r="G100" s="26" t="n">
        <v>9471000</v>
      </c>
      <c r="H100" s="27" t="n">
        <v>5.7</v>
      </c>
      <c r="I100" s="25" t="n">
        <v>116</v>
      </c>
      <c r="J100" s="25" t="s">
        <v>30</v>
      </c>
      <c r="K100" s="25" t="s">
        <v>121</v>
      </c>
      <c r="L100" s="25" t="s">
        <v>122</v>
      </c>
      <c r="M100" s="26" t="n">
        <v>5902000</v>
      </c>
      <c r="N100" s="28" t="n">
        <v>165.4</v>
      </c>
      <c r="O100" s="29" t="n">
        <f aca="false">G100+ROW()/10000000</f>
        <v>9471000.00001</v>
      </c>
    </row>
    <row r="101" customFormat="false" ht="15" hidden="false" customHeight="false" outlineLevel="0" collapsed="false">
      <c r="A101" s="25" t="n">
        <v>97</v>
      </c>
      <c r="B101" s="25" t="s">
        <v>225</v>
      </c>
      <c r="C101" s="25" t="s">
        <v>47</v>
      </c>
      <c r="D101" s="25" t="s">
        <v>54</v>
      </c>
      <c r="E101" s="25" t="n">
        <v>2010</v>
      </c>
      <c r="F101" s="26" t="n">
        <v>13817000</v>
      </c>
      <c r="G101" s="26" t="n">
        <v>28794000</v>
      </c>
      <c r="H101" s="27" t="n">
        <v>6</v>
      </c>
      <c r="I101" s="25" t="n">
        <v>106</v>
      </c>
      <c r="J101" s="25" t="s">
        <v>30</v>
      </c>
      <c r="K101" s="25" t="s">
        <v>125</v>
      </c>
      <c r="L101" s="25" t="s">
        <v>131</v>
      </c>
      <c r="M101" s="26" t="n">
        <v>14977000</v>
      </c>
      <c r="N101" s="28" t="n">
        <v>108.4</v>
      </c>
      <c r="O101" s="29" t="n">
        <f aca="false">G101+ROW()/10000000</f>
        <v>28794000.0000101</v>
      </c>
    </row>
    <row r="102" customFormat="false" ht="15" hidden="false" customHeight="false" outlineLevel="0" collapsed="false">
      <c r="A102" s="25" t="n">
        <v>98</v>
      </c>
      <c r="B102" s="25" t="s">
        <v>226</v>
      </c>
      <c r="C102" s="25" t="s">
        <v>50</v>
      </c>
      <c r="D102" s="25" t="s">
        <v>56</v>
      </c>
      <c r="E102" s="25" t="n">
        <v>2010</v>
      </c>
      <c r="F102" s="26" t="n">
        <v>121884000</v>
      </c>
      <c r="G102" s="26" t="n">
        <v>260222000</v>
      </c>
      <c r="H102" s="27" t="n">
        <v>6.3</v>
      </c>
      <c r="I102" s="25" t="n">
        <v>133</v>
      </c>
      <c r="J102" s="25" t="s">
        <v>27</v>
      </c>
      <c r="K102" s="25" t="s">
        <v>111</v>
      </c>
      <c r="L102" s="25" t="s">
        <v>119</v>
      </c>
      <c r="M102" s="26" t="n">
        <v>138338000</v>
      </c>
      <c r="N102" s="28" t="n">
        <v>113.5</v>
      </c>
      <c r="O102" s="29" t="n">
        <f aca="false">G102+ROW()/10000000</f>
        <v>260222000.00001</v>
      </c>
    </row>
    <row r="103" customFormat="false" ht="15" hidden="false" customHeight="false" outlineLevel="0" collapsed="false">
      <c r="A103" s="25" t="n">
        <v>99</v>
      </c>
      <c r="B103" s="25" t="s">
        <v>227</v>
      </c>
      <c r="C103" s="25" t="s">
        <v>44</v>
      </c>
      <c r="D103" s="25" t="s">
        <v>56</v>
      </c>
      <c r="E103" s="25" t="n">
        <v>2010</v>
      </c>
      <c r="F103" s="26" t="n">
        <v>10920000</v>
      </c>
      <c r="G103" s="26" t="n">
        <v>31600000</v>
      </c>
      <c r="H103" s="27" t="n">
        <v>6.8</v>
      </c>
      <c r="I103" s="25" t="n">
        <v>97</v>
      </c>
      <c r="J103" s="25" t="s">
        <v>48</v>
      </c>
      <c r="K103" s="25" t="s">
        <v>113</v>
      </c>
      <c r="L103" s="25" t="s">
        <v>126</v>
      </c>
      <c r="M103" s="26" t="n">
        <v>20680000</v>
      </c>
      <c r="N103" s="28" t="n">
        <v>189.4</v>
      </c>
      <c r="O103" s="29" t="n">
        <f aca="false">G103+ROW()/10000000</f>
        <v>31600000.0000103</v>
      </c>
    </row>
    <row r="104" customFormat="false" ht="15" hidden="false" customHeight="false" outlineLevel="0" collapsed="false">
      <c r="A104" s="25" t="n">
        <v>100</v>
      </c>
      <c r="B104" s="25" t="s">
        <v>228</v>
      </c>
      <c r="C104" s="25" t="s">
        <v>50</v>
      </c>
      <c r="D104" s="25" t="s">
        <v>68</v>
      </c>
      <c r="E104" s="25" t="n">
        <v>2010</v>
      </c>
      <c r="F104" s="26" t="n">
        <v>68381000</v>
      </c>
      <c r="G104" s="26" t="n">
        <v>233954000</v>
      </c>
      <c r="H104" s="27" t="n">
        <v>8.6</v>
      </c>
      <c r="I104" s="25" t="n">
        <v>138</v>
      </c>
      <c r="J104" s="25" t="s">
        <v>42</v>
      </c>
      <c r="K104" s="25" t="s">
        <v>152</v>
      </c>
      <c r="L104" s="25" t="s">
        <v>107</v>
      </c>
      <c r="M104" s="26" t="n">
        <v>165573000</v>
      </c>
      <c r="N104" s="28" t="n">
        <v>242.1</v>
      </c>
      <c r="O104" s="29" t="n">
        <f aca="false">G104+ROW()/10000000</f>
        <v>233954000.00001</v>
      </c>
    </row>
    <row r="105" customFormat="false" ht="15" hidden="false" customHeight="false" outlineLevel="0" collapsed="false">
      <c r="A105" s="25" t="n">
        <v>101</v>
      </c>
      <c r="B105" s="25" t="s">
        <v>229</v>
      </c>
      <c r="C105" s="25" t="s">
        <v>26</v>
      </c>
      <c r="D105" s="25" t="s">
        <v>56</v>
      </c>
      <c r="E105" s="25" t="n">
        <v>2010</v>
      </c>
      <c r="F105" s="26" t="n">
        <v>37753000</v>
      </c>
      <c r="G105" s="26" t="n">
        <v>334646000</v>
      </c>
      <c r="H105" s="27" t="n">
        <v>7.8</v>
      </c>
      <c r="I105" s="25" t="n">
        <v>102</v>
      </c>
      <c r="J105" s="25" t="s">
        <v>24</v>
      </c>
      <c r="K105" s="25" t="s">
        <v>121</v>
      </c>
      <c r="L105" s="25" t="s">
        <v>126</v>
      </c>
      <c r="M105" s="26" t="n">
        <v>296893000</v>
      </c>
      <c r="N105" s="28" t="n">
        <v>786.4</v>
      </c>
      <c r="O105" s="29" t="n">
        <f aca="false">G105+ROW()/10000000</f>
        <v>334646000.000011</v>
      </c>
    </row>
    <row r="106" customFormat="false" ht="15" hidden="false" customHeight="false" outlineLevel="0" collapsed="false">
      <c r="A106" s="25" t="n">
        <v>102</v>
      </c>
      <c r="B106" s="25" t="s">
        <v>230</v>
      </c>
      <c r="C106" s="25" t="s">
        <v>38</v>
      </c>
      <c r="D106" s="25" t="s">
        <v>63</v>
      </c>
      <c r="E106" s="25" t="n">
        <v>2010</v>
      </c>
      <c r="F106" s="26" t="n">
        <v>20281000</v>
      </c>
      <c r="G106" s="26" t="n">
        <v>106904000</v>
      </c>
      <c r="H106" s="27" t="n">
        <v>6.6</v>
      </c>
      <c r="I106" s="25" t="n">
        <v>90</v>
      </c>
      <c r="J106" s="25" t="s">
        <v>45</v>
      </c>
      <c r="K106" s="25" t="s">
        <v>154</v>
      </c>
      <c r="L106" s="25" t="s">
        <v>141</v>
      </c>
      <c r="M106" s="26" t="n">
        <v>86623000</v>
      </c>
      <c r="N106" s="28" t="n">
        <v>427.1</v>
      </c>
      <c r="O106" s="29" t="n">
        <f aca="false">G106+ROW()/10000000</f>
        <v>106904000.000011</v>
      </c>
    </row>
    <row r="107" customFormat="false" ht="15" hidden="false" customHeight="false" outlineLevel="0" collapsed="false">
      <c r="A107" s="25" t="n">
        <v>103</v>
      </c>
      <c r="B107" s="25" t="s">
        <v>231</v>
      </c>
      <c r="C107" s="25" t="s">
        <v>32</v>
      </c>
      <c r="D107" s="25" t="s">
        <v>31</v>
      </c>
      <c r="E107" s="25" t="n">
        <v>2010</v>
      </c>
      <c r="F107" s="26" t="n">
        <v>55316000</v>
      </c>
      <c r="G107" s="26" t="n">
        <v>266281000</v>
      </c>
      <c r="H107" s="27" t="n">
        <v>8.9</v>
      </c>
      <c r="I107" s="25" t="n">
        <v>96</v>
      </c>
      <c r="J107" s="25" t="s">
        <v>27</v>
      </c>
      <c r="K107" s="25" t="s">
        <v>113</v>
      </c>
      <c r="L107" s="25" t="s">
        <v>122</v>
      </c>
      <c r="M107" s="26" t="n">
        <v>210965000</v>
      </c>
      <c r="N107" s="28" t="n">
        <v>381.4</v>
      </c>
      <c r="O107" s="29" t="n">
        <f aca="false">G107+ROW()/10000000</f>
        <v>266281000.000011</v>
      </c>
    </row>
    <row r="108" customFormat="false" ht="15" hidden="false" customHeight="false" outlineLevel="0" collapsed="false">
      <c r="A108" s="25" t="n">
        <v>104</v>
      </c>
      <c r="B108" s="25" t="s">
        <v>232</v>
      </c>
      <c r="C108" s="25" t="s">
        <v>26</v>
      </c>
      <c r="D108" s="25" t="s">
        <v>49</v>
      </c>
      <c r="E108" s="25" t="n">
        <v>2010</v>
      </c>
      <c r="F108" s="26" t="n">
        <v>75907000</v>
      </c>
      <c r="G108" s="26" t="n">
        <v>95643000</v>
      </c>
      <c r="H108" s="27" t="n">
        <v>4.7</v>
      </c>
      <c r="I108" s="25" t="n">
        <v>116</v>
      </c>
      <c r="J108" s="25" t="s">
        <v>33</v>
      </c>
      <c r="K108" s="25" t="s">
        <v>125</v>
      </c>
      <c r="L108" s="25" t="s">
        <v>119</v>
      </c>
      <c r="M108" s="26" t="n">
        <v>19736000</v>
      </c>
      <c r="N108" s="28" t="n">
        <v>26</v>
      </c>
      <c r="O108" s="29" t="n">
        <f aca="false">G108+ROW()/10000000</f>
        <v>95643000.0000108</v>
      </c>
    </row>
    <row r="109" customFormat="false" ht="15" hidden="false" customHeight="false" outlineLevel="0" collapsed="false">
      <c r="A109" s="25" t="n">
        <v>105</v>
      </c>
      <c r="B109" s="25" t="s">
        <v>233</v>
      </c>
      <c r="C109" s="25" t="s">
        <v>35</v>
      </c>
      <c r="D109" s="25" t="s">
        <v>34</v>
      </c>
      <c r="E109" s="25" t="n">
        <v>2011</v>
      </c>
      <c r="F109" s="26" t="n">
        <v>8186000</v>
      </c>
      <c r="G109" s="26" t="n">
        <v>14078000</v>
      </c>
      <c r="H109" s="27" t="n">
        <v>5.4</v>
      </c>
      <c r="I109" s="25" t="n">
        <v>109</v>
      </c>
      <c r="J109" s="25" t="s">
        <v>24</v>
      </c>
      <c r="K109" s="25" t="s">
        <v>111</v>
      </c>
      <c r="L109" s="25" t="s">
        <v>136</v>
      </c>
      <c r="M109" s="26" t="n">
        <v>5892000</v>
      </c>
      <c r="N109" s="28" t="n">
        <v>72</v>
      </c>
      <c r="O109" s="29" t="n">
        <f aca="false">G109+ROW()/10000000</f>
        <v>14078000.0000109</v>
      </c>
    </row>
    <row r="110" customFormat="false" ht="15" hidden="false" customHeight="false" outlineLevel="0" collapsed="false">
      <c r="A110" s="25" t="n">
        <v>106</v>
      </c>
      <c r="B110" s="25" t="s">
        <v>234</v>
      </c>
      <c r="C110" s="25" t="s">
        <v>20</v>
      </c>
      <c r="D110" s="25" t="s">
        <v>59</v>
      </c>
      <c r="E110" s="25" t="n">
        <v>2011</v>
      </c>
      <c r="F110" s="26" t="n">
        <v>59515000</v>
      </c>
      <c r="G110" s="26" t="n">
        <v>50696000</v>
      </c>
      <c r="H110" s="27" t="n">
        <v>6</v>
      </c>
      <c r="I110" s="25" t="n">
        <v>129</v>
      </c>
      <c r="J110" s="25" t="s">
        <v>36</v>
      </c>
      <c r="K110" s="25" t="s">
        <v>103</v>
      </c>
      <c r="L110" s="25" t="s">
        <v>136</v>
      </c>
      <c r="M110" s="26" t="n">
        <v>-8819000</v>
      </c>
      <c r="N110" s="28" t="n">
        <v>-14.8</v>
      </c>
      <c r="O110" s="29" t="n">
        <f aca="false">G110+ROW()/10000000</f>
        <v>50696000.000011</v>
      </c>
    </row>
    <row r="111" customFormat="false" ht="15" hidden="false" customHeight="false" outlineLevel="0" collapsed="false">
      <c r="A111" s="25" t="n">
        <v>107</v>
      </c>
      <c r="B111" s="25" t="s">
        <v>235</v>
      </c>
      <c r="C111" s="25" t="s">
        <v>38</v>
      </c>
      <c r="D111" s="25" t="s">
        <v>63</v>
      </c>
      <c r="E111" s="25" t="n">
        <v>2011</v>
      </c>
      <c r="F111" s="26" t="n">
        <v>27356000</v>
      </c>
      <c r="G111" s="26" t="n">
        <v>115416000</v>
      </c>
      <c r="H111" s="27" t="n">
        <v>4.9</v>
      </c>
      <c r="I111" s="25" t="n">
        <v>134</v>
      </c>
      <c r="J111" s="25" t="s">
        <v>33</v>
      </c>
      <c r="K111" s="25" t="s">
        <v>116</v>
      </c>
      <c r="L111" s="25" t="s">
        <v>136</v>
      </c>
      <c r="M111" s="26" t="n">
        <v>88060000</v>
      </c>
      <c r="N111" s="28" t="n">
        <v>321.9</v>
      </c>
      <c r="O111" s="29" t="n">
        <f aca="false">G111+ROW()/10000000</f>
        <v>115416000.000011</v>
      </c>
    </row>
    <row r="112" customFormat="false" ht="15" hidden="false" customHeight="false" outlineLevel="0" collapsed="false">
      <c r="A112" s="25" t="n">
        <v>108</v>
      </c>
      <c r="B112" s="25" t="s">
        <v>236</v>
      </c>
      <c r="C112" s="25" t="s">
        <v>44</v>
      </c>
      <c r="D112" s="25" t="s">
        <v>49</v>
      </c>
      <c r="E112" s="25" t="n">
        <v>2011</v>
      </c>
      <c r="F112" s="26" t="n">
        <v>15291000</v>
      </c>
      <c r="G112" s="26" t="n">
        <v>21023000</v>
      </c>
      <c r="H112" s="27" t="n">
        <v>6.8</v>
      </c>
      <c r="I112" s="25" t="n">
        <v>110</v>
      </c>
      <c r="J112" s="25" t="s">
        <v>30</v>
      </c>
      <c r="K112" s="25" t="s">
        <v>103</v>
      </c>
      <c r="L112" s="25" t="s">
        <v>104</v>
      </c>
      <c r="M112" s="26" t="n">
        <v>5732000</v>
      </c>
      <c r="N112" s="28" t="n">
        <v>37.5</v>
      </c>
      <c r="O112" s="29" t="n">
        <f aca="false">G112+ROW()/10000000</f>
        <v>21023000.0000112</v>
      </c>
    </row>
    <row r="113" customFormat="false" ht="15" hidden="false" customHeight="false" outlineLevel="0" collapsed="false">
      <c r="A113" s="25" t="n">
        <v>109</v>
      </c>
      <c r="B113" s="25" t="s">
        <v>236</v>
      </c>
      <c r="C113" s="25" t="s">
        <v>44</v>
      </c>
      <c r="D113" s="25" t="s">
        <v>51</v>
      </c>
      <c r="E113" s="25" t="n">
        <v>2011</v>
      </c>
      <c r="F113" s="26" t="n">
        <v>15078000</v>
      </c>
      <c r="G113" s="26" t="n">
        <v>21023000</v>
      </c>
      <c r="H113" s="27" t="n">
        <v>6.8</v>
      </c>
      <c r="I113" s="25" t="n">
        <v>110</v>
      </c>
      <c r="J113" s="25" t="s">
        <v>30</v>
      </c>
      <c r="K113" s="25" t="s">
        <v>103</v>
      </c>
      <c r="L113" s="25" t="s">
        <v>104</v>
      </c>
      <c r="M113" s="26" t="n">
        <v>5945000</v>
      </c>
      <c r="N113" s="28" t="n">
        <v>39.4</v>
      </c>
      <c r="O113" s="29" t="n">
        <f aca="false">G113+ROW()/10000000</f>
        <v>21023000.0000113</v>
      </c>
    </row>
    <row r="114" customFormat="false" ht="15" hidden="false" customHeight="false" outlineLevel="0" collapsed="false">
      <c r="A114" s="25" t="n">
        <v>110</v>
      </c>
      <c r="B114" s="25" t="s">
        <v>237</v>
      </c>
      <c r="C114" s="25" t="s">
        <v>32</v>
      </c>
      <c r="D114" s="25" t="s">
        <v>55</v>
      </c>
      <c r="E114" s="25" t="n">
        <v>2011</v>
      </c>
      <c r="F114" s="26" t="n">
        <v>15690000</v>
      </c>
      <c r="G114" s="26" t="n">
        <v>23135000</v>
      </c>
      <c r="H114" s="27" t="n">
        <v>6.5</v>
      </c>
      <c r="I114" s="25" t="n">
        <v>147</v>
      </c>
      <c r="J114" s="25" t="s">
        <v>33</v>
      </c>
      <c r="K114" s="25" t="s">
        <v>181</v>
      </c>
      <c r="L114" s="25" t="s">
        <v>109</v>
      </c>
      <c r="M114" s="26" t="n">
        <v>7445000</v>
      </c>
      <c r="N114" s="28" t="n">
        <v>47.5</v>
      </c>
      <c r="O114" s="29" t="n">
        <f aca="false">G114+ROW()/10000000</f>
        <v>23135000.0000114</v>
      </c>
    </row>
    <row r="115" customFormat="false" ht="15" hidden="false" customHeight="false" outlineLevel="0" collapsed="false">
      <c r="A115" s="25" t="n">
        <v>111</v>
      </c>
      <c r="B115" s="25" t="s">
        <v>238</v>
      </c>
      <c r="C115" s="25" t="s">
        <v>35</v>
      </c>
      <c r="D115" s="25" t="s">
        <v>61</v>
      </c>
      <c r="E115" s="25" t="n">
        <v>2011</v>
      </c>
      <c r="F115" s="26" t="n">
        <v>3911000</v>
      </c>
      <c r="G115" s="26" t="n">
        <v>10397000</v>
      </c>
      <c r="H115" s="27" t="n">
        <v>5.2</v>
      </c>
      <c r="I115" s="25" t="n">
        <v>119</v>
      </c>
      <c r="J115" s="25" t="s">
        <v>45</v>
      </c>
      <c r="K115" s="25" t="s">
        <v>139</v>
      </c>
      <c r="L115" s="25" t="s">
        <v>114</v>
      </c>
      <c r="M115" s="26" t="n">
        <v>6486000</v>
      </c>
      <c r="N115" s="28" t="n">
        <v>165.8</v>
      </c>
      <c r="O115" s="29" t="n">
        <f aca="false">G115+ROW()/10000000</f>
        <v>10397000.0000115</v>
      </c>
    </row>
    <row r="116" customFormat="false" ht="15" hidden="false" customHeight="false" outlineLevel="0" collapsed="false">
      <c r="A116" s="25" t="n">
        <v>112</v>
      </c>
      <c r="B116" s="25" t="s">
        <v>239</v>
      </c>
      <c r="C116" s="25" t="s">
        <v>35</v>
      </c>
      <c r="D116" s="25" t="s">
        <v>76</v>
      </c>
      <c r="E116" s="25" t="n">
        <v>2011</v>
      </c>
      <c r="F116" s="26" t="n">
        <v>3596000</v>
      </c>
      <c r="G116" s="26" t="n">
        <v>7032000</v>
      </c>
      <c r="H116" s="27" t="n">
        <v>5.8</v>
      </c>
      <c r="I116" s="25" t="n">
        <v>82</v>
      </c>
      <c r="J116" s="25" t="s">
        <v>51</v>
      </c>
      <c r="K116" s="25" t="s">
        <v>113</v>
      </c>
      <c r="L116" s="25" t="s">
        <v>184</v>
      </c>
      <c r="M116" s="26" t="n">
        <v>3436000</v>
      </c>
      <c r="N116" s="28" t="n">
        <v>95.6</v>
      </c>
      <c r="O116" s="29" t="n">
        <f aca="false">G116+ROW()/10000000</f>
        <v>7032000.0000116</v>
      </c>
    </row>
    <row r="117" customFormat="false" ht="15" hidden="false" customHeight="false" outlineLevel="0" collapsed="false">
      <c r="A117" s="25" t="n">
        <v>113</v>
      </c>
      <c r="B117" s="25" t="s">
        <v>240</v>
      </c>
      <c r="C117" s="25" t="s">
        <v>29</v>
      </c>
      <c r="D117" s="25" t="s">
        <v>60</v>
      </c>
      <c r="E117" s="25" t="n">
        <v>2011</v>
      </c>
      <c r="F117" s="26" t="n">
        <v>35748000</v>
      </c>
      <c r="G117" s="26" t="n">
        <v>111058000</v>
      </c>
      <c r="H117" s="27" t="n">
        <v>7.6</v>
      </c>
      <c r="I117" s="25" t="n">
        <v>101</v>
      </c>
      <c r="J117" s="25" t="s">
        <v>36</v>
      </c>
      <c r="K117" s="25" t="s">
        <v>116</v>
      </c>
      <c r="L117" s="25" t="s">
        <v>131</v>
      </c>
      <c r="M117" s="26" t="n">
        <v>75310000</v>
      </c>
      <c r="N117" s="28" t="n">
        <v>210.7</v>
      </c>
      <c r="O117" s="29" t="n">
        <f aca="false">G117+ROW()/10000000</f>
        <v>111058000.000012</v>
      </c>
    </row>
    <row r="118" customFormat="false" ht="15" hidden="false" customHeight="false" outlineLevel="0" collapsed="false">
      <c r="A118" s="25" t="n">
        <v>114</v>
      </c>
      <c r="B118" s="25" t="s">
        <v>241</v>
      </c>
      <c r="C118" s="25" t="s">
        <v>50</v>
      </c>
      <c r="D118" s="25" t="s">
        <v>28</v>
      </c>
      <c r="E118" s="25" t="n">
        <v>2011</v>
      </c>
      <c r="F118" s="26" t="n">
        <v>60571000</v>
      </c>
      <c r="G118" s="26" t="n">
        <v>212013000</v>
      </c>
      <c r="H118" s="27" t="n">
        <v>5.9</v>
      </c>
      <c r="I118" s="25" t="n">
        <v>96</v>
      </c>
      <c r="J118" s="25" t="s">
        <v>45</v>
      </c>
      <c r="K118" s="25" t="s">
        <v>113</v>
      </c>
      <c r="L118" s="25" t="s">
        <v>119</v>
      </c>
      <c r="M118" s="26" t="n">
        <v>151442000</v>
      </c>
      <c r="N118" s="28" t="n">
        <v>250</v>
      </c>
      <c r="O118" s="29" t="n">
        <f aca="false">G118+ROW()/10000000</f>
        <v>212013000.000012</v>
      </c>
    </row>
    <row r="119" customFormat="false" ht="15" hidden="false" customHeight="false" outlineLevel="0" collapsed="false">
      <c r="A119" s="25" t="n">
        <v>115</v>
      </c>
      <c r="B119" s="25" t="s">
        <v>242</v>
      </c>
      <c r="C119" s="25" t="s">
        <v>50</v>
      </c>
      <c r="D119" s="25" t="s">
        <v>61</v>
      </c>
      <c r="E119" s="25" t="n">
        <v>2011</v>
      </c>
      <c r="F119" s="26" t="n">
        <v>65583000</v>
      </c>
      <c r="G119" s="26" t="n">
        <v>123240000</v>
      </c>
      <c r="H119" s="27" t="n">
        <v>7.6</v>
      </c>
      <c r="I119" s="25" t="n">
        <v>100</v>
      </c>
      <c r="J119" s="25" t="s">
        <v>36</v>
      </c>
      <c r="K119" s="25" t="s">
        <v>103</v>
      </c>
      <c r="L119" s="25" t="s">
        <v>136</v>
      </c>
      <c r="M119" s="26" t="n">
        <v>57657000</v>
      </c>
      <c r="N119" s="28" t="n">
        <v>87.9</v>
      </c>
      <c r="O119" s="29" t="n">
        <f aca="false">G119+ROW()/10000000</f>
        <v>123240000.000012</v>
      </c>
    </row>
    <row r="120" customFormat="false" ht="15" hidden="false" customHeight="false" outlineLevel="0" collapsed="false">
      <c r="A120" s="25" t="n">
        <v>116</v>
      </c>
      <c r="B120" s="25" t="s">
        <v>243</v>
      </c>
      <c r="C120" s="25" t="s">
        <v>20</v>
      </c>
      <c r="D120" s="25" t="s">
        <v>76</v>
      </c>
      <c r="E120" s="25" t="n">
        <v>2012</v>
      </c>
      <c r="F120" s="26" t="n">
        <v>88576000</v>
      </c>
      <c r="G120" s="26" t="n">
        <v>351044000</v>
      </c>
      <c r="H120" s="27" t="n">
        <v>6.5</v>
      </c>
      <c r="I120" s="25" t="n">
        <v>112</v>
      </c>
      <c r="J120" s="25" t="s">
        <v>27</v>
      </c>
      <c r="K120" s="25" t="s">
        <v>139</v>
      </c>
      <c r="L120" s="25" t="s">
        <v>109</v>
      </c>
      <c r="M120" s="26" t="n">
        <v>262468000</v>
      </c>
      <c r="N120" s="28" t="n">
        <v>296.3</v>
      </c>
      <c r="O120" s="29" t="n">
        <f aca="false">G120+ROW()/10000000</f>
        <v>351044000.000012</v>
      </c>
    </row>
    <row r="121" customFormat="false" ht="15" hidden="false" customHeight="false" outlineLevel="0" collapsed="false">
      <c r="A121" s="25" t="n">
        <v>117</v>
      </c>
      <c r="B121" s="25" t="s">
        <v>244</v>
      </c>
      <c r="C121" s="25" t="s">
        <v>32</v>
      </c>
      <c r="D121" s="25" t="s">
        <v>56</v>
      </c>
      <c r="E121" s="25" t="n">
        <v>2012</v>
      </c>
      <c r="F121" s="26" t="n">
        <v>55258000</v>
      </c>
      <c r="G121" s="26" t="n">
        <v>155959000</v>
      </c>
      <c r="H121" s="27" t="n">
        <v>7.6</v>
      </c>
      <c r="I121" s="25" t="n">
        <v>82</v>
      </c>
      <c r="J121" s="25" t="s">
        <v>27</v>
      </c>
      <c r="K121" s="25" t="s">
        <v>113</v>
      </c>
      <c r="L121" s="25" t="s">
        <v>104</v>
      </c>
      <c r="M121" s="26" t="n">
        <v>100701000</v>
      </c>
      <c r="N121" s="28" t="n">
        <v>182.2</v>
      </c>
      <c r="O121" s="29" t="n">
        <f aca="false">G121+ROW()/10000000</f>
        <v>155959000.000012</v>
      </c>
    </row>
    <row r="122" customFormat="false" ht="15" hidden="false" customHeight="false" outlineLevel="0" collapsed="false">
      <c r="A122" s="25" t="n">
        <v>118</v>
      </c>
      <c r="B122" s="25" t="s">
        <v>245</v>
      </c>
      <c r="C122" s="25" t="s">
        <v>23</v>
      </c>
      <c r="D122" s="25" t="s">
        <v>63</v>
      </c>
      <c r="E122" s="25" t="n">
        <v>2012</v>
      </c>
      <c r="F122" s="26" t="n">
        <v>87577000</v>
      </c>
      <c r="G122" s="26" t="n">
        <v>134090000</v>
      </c>
      <c r="H122" s="27" t="n">
        <v>7.6</v>
      </c>
      <c r="I122" s="25" t="n">
        <v>109</v>
      </c>
      <c r="J122" s="25" t="s">
        <v>30</v>
      </c>
      <c r="K122" s="25" t="s">
        <v>103</v>
      </c>
      <c r="L122" s="25" t="s">
        <v>122</v>
      </c>
      <c r="M122" s="26" t="n">
        <v>46513000</v>
      </c>
      <c r="N122" s="28" t="n">
        <v>53.1</v>
      </c>
      <c r="O122" s="29" t="n">
        <f aca="false">G122+ROW()/10000000</f>
        <v>134090000.000012</v>
      </c>
    </row>
    <row r="123" customFormat="false" ht="15" hidden="false" customHeight="false" outlineLevel="0" collapsed="false">
      <c r="A123" s="25" t="n">
        <v>119</v>
      </c>
      <c r="B123" s="25" t="s">
        <v>246</v>
      </c>
      <c r="C123" s="25" t="s">
        <v>41</v>
      </c>
      <c r="D123" s="25" t="s">
        <v>63</v>
      </c>
      <c r="E123" s="25" t="n">
        <v>2012</v>
      </c>
      <c r="F123" s="26" t="n">
        <v>74489000</v>
      </c>
      <c r="G123" s="26" t="n">
        <v>106255000</v>
      </c>
      <c r="H123" s="27" t="n">
        <v>6.7</v>
      </c>
      <c r="I123" s="25" t="n">
        <v>92</v>
      </c>
      <c r="J123" s="25" t="s">
        <v>39</v>
      </c>
      <c r="K123" s="25" t="s">
        <v>139</v>
      </c>
      <c r="L123" s="25" t="s">
        <v>109</v>
      </c>
      <c r="M123" s="26" t="n">
        <v>31766000</v>
      </c>
      <c r="N123" s="28" t="n">
        <v>42.6</v>
      </c>
      <c r="O123" s="29" t="n">
        <f aca="false">G123+ROW()/10000000</f>
        <v>106255000.000012</v>
      </c>
    </row>
    <row r="124" customFormat="false" ht="15" hidden="false" customHeight="false" outlineLevel="0" collapsed="false">
      <c r="A124" s="25" t="n">
        <v>120</v>
      </c>
      <c r="B124" s="25" t="s">
        <v>247</v>
      </c>
      <c r="C124" s="25" t="s">
        <v>44</v>
      </c>
      <c r="D124" s="25" t="s">
        <v>63</v>
      </c>
      <c r="E124" s="25" t="n">
        <v>2012</v>
      </c>
      <c r="F124" s="26" t="n">
        <v>7173000</v>
      </c>
      <c r="G124" s="26" t="n">
        <v>28194000</v>
      </c>
      <c r="H124" s="27" t="n">
        <v>6.9</v>
      </c>
      <c r="I124" s="25" t="n">
        <v>93</v>
      </c>
      <c r="J124" s="25" t="s">
        <v>33</v>
      </c>
      <c r="K124" s="25" t="s">
        <v>113</v>
      </c>
      <c r="L124" s="25" t="s">
        <v>51</v>
      </c>
      <c r="M124" s="26" t="n">
        <v>21021000</v>
      </c>
      <c r="N124" s="28" t="n">
        <v>293.1</v>
      </c>
      <c r="O124" s="29" t="n">
        <f aca="false">G124+ROW()/10000000</f>
        <v>28194000.0000124</v>
      </c>
    </row>
    <row r="125" customFormat="false" ht="15" hidden="false" customHeight="false" outlineLevel="0" collapsed="false">
      <c r="A125" s="25" t="n">
        <v>121</v>
      </c>
      <c r="B125" s="25" t="s">
        <v>248</v>
      </c>
      <c r="C125" s="25" t="s">
        <v>32</v>
      </c>
      <c r="D125" s="25" t="s">
        <v>65</v>
      </c>
      <c r="E125" s="25" t="n">
        <v>2012</v>
      </c>
      <c r="F125" s="26" t="n">
        <v>40009000</v>
      </c>
      <c r="G125" s="26" t="n">
        <v>145715000</v>
      </c>
      <c r="H125" s="27" t="n">
        <v>6.5</v>
      </c>
      <c r="I125" s="25" t="n">
        <v>133</v>
      </c>
      <c r="J125" s="25" t="s">
        <v>21</v>
      </c>
      <c r="K125" s="25" t="s">
        <v>103</v>
      </c>
      <c r="L125" s="25" t="s">
        <v>146</v>
      </c>
      <c r="M125" s="26" t="n">
        <v>105706000</v>
      </c>
      <c r="N125" s="28" t="n">
        <v>264.2</v>
      </c>
      <c r="O125" s="29" t="n">
        <f aca="false">G125+ROW()/10000000</f>
        <v>145715000.000013</v>
      </c>
    </row>
    <row r="126" customFormat="false" ht="15" hidden="false" customHeight="false" outlineLevel="0" collapsed="false">
      <c r="A126" s="25" t="n">
        <v>122</v>
      </c>
      <c r="B126" s="25" t="s">
        <v>249</v>
      </c>
      <c r="C126" s="25" t="s">
        <v>26</v>
      </c>
      <c r="D126" s="25" t="s">
        <v>57</v>
      </c>
      <c r="E126" s="25" t="n">
        <v>2012</v>
      </c>
      <c r="F126" s="26" t="n">
        <v>133989000</v>
      </c>
      <c r="G126" s="26" t="n">
        <v>610881000</v>
      </c>
      <c r="H126" s="27" t="n">
        <v>6.5</v>
      </c>
      <c r="I126" s="25" t="n">
        <v>110</v>
      </c>
      <c r="J126" s="25" t="s">
        <v>30</v>
      </c>
      <c r="K126" s="25" t="s">
        <v>170</v>
      </c>
      <c r="L126" s="25" t="s">
        <v>136</v>
      </c>
      <c r="M126" s="26" t="n">
        <v>476892000</v>
      </c>
      <c r="N126" s="28" t="n">
        <v>355.9</v>
      </c>
      <c r="O126" s="29" t="n">
        <f aca="false">G126+ROW()/10000000</f>
        <v>610881000.000013</v>
      </c>
    </row>
    <row r="127" customFormat="false" ht="15" hidden="false" customHeight="false" outlineLevel="0" collapsed="false">
      <c r="A127" s="25" t="n">
        <v>123</v>
      </c>
      <c r="B127" s="25" t="s">
        <v>250</v>
      </c>
      <c r="C127" s="25" t="s">
        <v>38</v>
      </c>
      <c r="D127" s="25" t="s">
        <v>72</v>
      </c>
      <c r="E127" s="25" t="n">
        <v>2012</v>
      </c>
      <c r="F127" s="26" t="n">
        <v>19861000</v>
      </c>
      <c r="G127" s="26" t="n">
        <v>23274000</v>
      </c>
      <c r="H127" s="27" t="n">
        <v>6.4</v>
      </c>
      <c r="I127" s="25" t="n">
        <v>131</v>
      </c>
      <c r="J127" s="25" t="s">
        <v>33</v>
      </c>
      <c r="K127" s="25" t="s">
        <v>154</v>
      </c>
      <c r="L127" s="25" t="s">
        <v>51</v>
      </c>
      <c r="M127" s="26" t="n">
        <v>3413000</v>
      </c>
      <c r="N127" s="28" t="n">
        <v>17.2</v>
      </c>
      <c r="O127" s="29" t="n">
        <f aca="false">G127+ROW()/10000000</f>
        <v>23274000.0000127</v>
      </c>
    </row>
    <row r="128" customFormat="false" ht="15" hidden="false" customHeight="false" outlineLevel="0" collapsed="false">
      <c r="A128" s="25" t="n">
        <v>124</v>
      </c>
      <c r="B128" s="25" t="s">
        <v>251</v>
      </c>
      <c r="C128" s="25" t="s">
        <v>35</v>
      </c>
      <c r="D128" s="25" t="s">
        <v>72</v>
      </c>
      <c r="E128" s="25" t="n">
        <v>2013</v>
      </c>
      <c r="F128" s="26" t="n">
        <v>4684000</v>
      </c>
      <c r="G128" s="26" t="n">
        <v>8545000</v>
      </c>
      <c r="H128" s="27" t="n">
        <v>5.4</v>
      </c>
      <c r="I128" s="25" t="n">
        <v>78</v>
      </c>
      <c r="J128" s="25" t="s">
        <v>21</v>
      </c>
      <c r="K128" s="25" t="s">
        <v>144</v>
      </c>
      <c r="L128" s="25" t="s">
        <v>109</v>
      </c>
      <c r="M128" s="26" t="n">
        <v>3861000</v>
      </c>
      <c r="N128" s="28" t="n">
        <v>82.4</v>
      </c>
      <c r="O128" s="29" t="n">
        <f aca="false">G128+ROW()/10000000</f>
        <v>8545000.0000128</v>
      </c>
    </row>
    <row r="129" customFormat="false" ht="15" hidden="false" customHeight="false" outlineLevel="0" collapsed="false">
      <c r="A129" s="25" t="n">
        <v>125</v>
      </c>
      <c r="B129" s="25" t="s">
        <v>252</v>
      </c>
      <c r="C129" s="25" t="s">
        <v>47</v>
      </c>
      <c r="D129" s="25" t="s">
        <v>31</v>
      </c>
      <c r="E129" s="25" t="n">
        <v>2013</v>
      </c>
      <c r="F129" s="26" t="n">
        <v>13422000</v>
      </c>
      <c r="G129" s="26" t="n">
        <v>43811500</v>
      </c>
      <c r="H129" s="27" t="n">
        <v>6.8</v>
      </c>
      <c r="I129" s="25" t="n">
        <v>101</v>
      </c>
      <c r="J129" s="25" t="s">
        <v>27</v>
      </c>
      <c r="K129" s="25" t="s">
        <v>125</v>
      </c>
      <c r="L129" s="25" t="s">
        <v>128</v>
      </c>
      <c r="M129" s="26" t="n">
        <v>30389500</v>
      </c>
      <c r="N129" s="28" t="n">
        <v>226.4</v>
      </c>
      <c r="O129" s="29" t="n">
        <f aca="false">G129+ROW()/10000000</f>
        <v>43811500.0000129</v>
      </c>
    </row>
    <row r="130" customFormat="false" ht="15" hidden="false" customHeight="false" outlineLevel="0" collapsed="false">
      <c r="A130" s="25" t="n">
        <v>126</v>
      </c>
      <c r="B130" s="25" t="s">
        <v>253</v>
      </c>
      <c r="C130" s="25" t="s">
        <v>29</v>
      </c>
      <c r="D130" s="25" t="s">
        <v>46</v>
      </c>
      <c r="E130" s="25" t="n">
        <v>2013</v>
      </c>
      <c r="F130" s="26" t="n">
        <v>29158000</v>
      </c>
      <c r="G130" s="26" t="n">
        <v>22422000</v>
      </c>
      <c r="H130" s="27" t="n">
        <v>7</v>
      </c>
      <c r="I130" s="25" t="n">
        <v>116</v>
      </c>
      <c r="J130" s="25" t="s">
        <v>21</v>
      </c>
      <c r="K130" s="25" t="s">
        <v>116</v>
      </c>
      <c r="L130" s="25" t="s">
        <v>131</v>
      </c>
      <c r="M130" s="26" t="n">
        <v>-6736000</v>
      </c>
      <c r="N130" s="28" t="n">
        <v>-23.1</v>
      </c>
      <c r="O130" s="29" t="n">
        <f aca="false">G130+ROW()/10000000</f>
        <v>22422000.000013</v>
      </c>
    </row>
    <row r="131" customFormat="false" ht="15" hidden="false" customHeight="false" outlineLevel="0" collapsed="false">
      <c r="A131" s="25" t="n">
        <v>127</v>
      </c>
      <c r="B131" s="25" t="s">
        <v>254</v>
      </c>
      <c r="C131" s="25" t="s">
        <v>47</v>
      </c>
      <c r="D131" s="25" t="s">
        <v>66</v>
      </c>
      <c r="E131" s="25" t="n">
        <v>2013</v>
      </c>
      <c r="F131" s="26" t="n">
        <v>25773000</v>
      </c>
      <c r="G131" s="26" t="n">
        <v>43811500</v>
      </c>
      <c r="H131" s="27" t="n">
        <v>5.9</v>
      </c>
      <c r="I131" s="25" t="n">
        <v>121</v>
      </c>
      <c r="J131" s="25" t="s">
        <v>45</v>
      </c>
      <c r="K131" s="25" t="s">
        <v>139</v>
      </c>
      <c r="L131" s="25" t="s">
        <v>107</v>
      </c>
      <c r="M131" s="26" t="n">
        <v>18038500</v>
      </c>
      <c r="N131" s="28" t="n">
        <v>70</v>
      </c>
      <c r="O131" s="29" t="n">
        <f aca="false">G131+ROW()/10000000</f>
        <v>43811500.0000131</v>
      </c>
    </row>
    <row r="132" customFormat="false" ht="15" hidden="false" customHeight="false" outlineLevel="0" collapsed="false">
      <c r="A132" s="25" t="n">
        <v>128</v>
      </c>
      <c r="B132" s="25" t="s">
        <v>255</v>
      </c>
      <c r="C132" s="25" t="s">
        <v>38</v>
      </c>
      <c r="D132" s="25" t="s">
        <v>76</v>
      </c>
      <c r="E132" s="25" t="n">
        <v>2013</v>
      </c>
      <c r="F132" s="26" t="n">
        <v>24791000</v>
      </c>
      <c r="G132" s="26" t="n">
        <v>66195000</v>
      </c>
      <c r="H132" s="27" t="n">
        <v>7.9</v>
      </c>
      <c r="I132" s="25" t="n">
        <v>100</v>
      </c>
      <c r="J132" s="25" t="s">
        <v>24</v>
      </c>
      <c r="K132" s="25" t="s">
        <v>118</v>
      </c>
      <c r="L132" s="25" t="s">
        <v>146</v>
      </c>
      <c r="M132" s="26" t="n">
        <v>41404000</v>
      </c>
      <c r="N132" s="28" t="n">
        <v>167</v>
      </c>
      <c r="O132" s="29" t="n">
        <f aca="false">G132+ROW()/10000000</f>
        <v>66195000.0000132</v>
      </c>
    </row>
    <row r="133" customFormat="false" ht="15" hidden="false" customHeight="false" outlineLevel="0" collapsed="false">
      <c r="A133" s="25" t="n">
        <v>129</v>
      </c>
      <c r="B133" s="25" t="s">
        <v>256</v>
      </c>
      <c r="C133" s="25" t="s">
        <v>41</v>
      </c>
      <c r="D133" s="25" t="s">
        <v>57</v>
      </c>
      <c r="E133" s="25" t="n">
        <v>2013</v>
      </c>
      <c r="F133" s="26" t="n">
        <v>118775000</v>
      </c>
      <c r="G133" s="26" t="n">
        <v>160328000</v>
      </c>
      <c r="H133" s="27" t="n">
        <v>6.6</v>
      </c>
      <c r="I133" s="25" t="n">
        <v>121</v>
      </c>
      <c r="J133" s="25" t="s">
        <v>33</v>
      </c>
      <c r="K133" s="25" t="s">
        <v>106</v>
      </c>
      <c r="L133" s="25" t="s">
        <v>126</v>
      </c>
      <c r="M133" s="26" t="n">
        <v>41553000</v>
      </c>
      <c r="N133" s="28" t="n">
        <v>35</v>
      </c>
      <c r="O133" s="29" t="n">
        <f aca="false">G133+ROW()/10000000</f>
        <v>160328000.000013</v>
      </c>
    </row>
    <row r="134" customFormat="false" ht="15" hidden="false" customHeight="false" outlineLevel="0" collapsed="false">
      <c r="A134" s="25" t="n">
        <v>130</v>
      </c>
      <c r="B134" s="25" t="s">
        <v>257</v>
      </c>
      <c r="C134" s="25" t="s">
        <v>26</v>
      </c>
      <c r="D134" s="25" t="s">
        <v>65</v>
      </c>
      <c r="E134" s="25" t="n">
        <v>2013</v>
      </c>
      <c r="F134" s="26" t="n">
        <v>64927000</v>
      </c>
      <c r="G134" s="26" t="n">
        <v>187860000</v>
      </c>
      <c r="H134" s="27" t="n">
        <v>6.6</v>
      </c>
      <c r="I134" s="25" t="n">
        <v>83</v>
      </c>
      <c r="J134" s="25" t="s">
        <v>27</v>
      </c>
      <c r="K134" s="25" t="s">
        <v>111</v>
      </c>
      <c r="L134" s="25" t="s">
        <v>136</v>
      </c>
      <c r="M134" s="26" t="n">
        <v>122933000</v>
      </c>
      <c r="N134" s="28" t="n">
        <v>189.3</v>
      </c>
      <c r="O134" s="29" t="n">
        <f aca="false">G134+ROW()/10000000</f>
        <v>187860000.000013</v>
      </c>
    </row>
    <row r="135" customFormat="false" ht="15" hidden="false" customHeight="false" outlineLevel="0" collapsed="false">
      <c r="A135" s="25" t="n">
        <v>131</v>
      </c>
      <c r="B135" s="25" t="s">
        <v>258</v>
      </c>
      <c r="C135" s="25" t="s">
        <v>53</v>
      </c>
      <c r="D135" s="25" t="s">
        <v>67</v>
      </c>
      <c r="E135" s="25" t="n">
        <v>2013</v>
      </c>
      <c r="F135" s="26" t="n">
        <v>30570000</v>
      </c>
      <c r="G135" s="26" t="n">
        <v>136285000</v>
      </c>
      <c r="H135" s="27" t="n">
        <v>6.9</v>
      </c>
      <c r="I135" s="25" t="n">
        <v>98</v>
      </c>
      <c r="J135" s="25" t="s">
        <v>33</v>
      </c>
      <c r="K135" s="25" t="s">
        <v>139</v>
      </c>
      <c r="L135" s="25" t="s">
        <v>122</v>
      </c>
      <c r="M135" s="26" t="n">
        <v>105715000</v>
      </c>
      <c r="N135" s="28" t="n">
        <v>345.8</v>
      </c>
      <c r="O135" s="29" t="n">
        <f aca="false">G135+ROW()/10000000</f>
        <v>136285000.000014</v>
      </c>
    </row>
    <row r="136" customFormat="false" ht="15" hidden="false" customHeight="false" outlineLevel="0" collapsed="false">
      <c r="A136" s="25" t="n">
        <v>132</v>
      </c>
      <c r="B136" s="25" t="s">
        <v>259</v>
      </c>
      <c r="C136" s="25" t="s">
        <v>29</v>
      </c>
      <c r="D136" s="25" t="s">
        <v>54</v>
      </c>
      <c r="E136" s="25" t="n">
        <v>2013</v>
      </c>
      <c r="F136" s="26" t="n">
        <v>26762000</v>
      </c>
      <c r="G136" s="26" t="n">
        <v>33176000</v>
      </c>
      <c r="H136" s="27" t="n">
        <v>6</v>
      </c>
      <c r="I136" s="25" t="n">
        <v>119</v>
      </c>
      <c r="J136" s="25" t="s">
        <v>33</v>
      </c>
      <c r="K136" s="25" t="s">
        <v>139</v>
      </c>
      <c r="L136" s="25" t="s">
        <v>128</v>
      </c>
      <c r="M136" s="26" t="n">
        <v>6414000</v>
      </c>
      <c r="N136" s="28" t="n">
        <v>24</v>
      </c>
      <c r="O136" s="29" t="n">
        <f aca="false">G136+ROW()/10000000</f>
        <v>33176000.0000136</v>
      </c>
    </row>
    <row r="137" customFormat="false" ht="15" hidden="false" customHeight="false" outlineLevel="0" collapsed="false">
      <c r="A137" s="25" t="n">
        <v>133</v>
      </c>
      <c r="B137" s="25" t="s">
        <v>260</v>
      </c>
      <c r="C137" s="25" t="s">
        <v>23</v>
      </c>
      <c r="D137" s="25" t="s">
        <v>55</v>
      </c>
      <c r="E137" s="25" t="n">
        <v>2013</v>
      </c>
      <c r="F137" s="26" t="n">
        <v>73583000</v>
      </c>
      <c r="G137" s="26" t="n">
        <v>582153000</v>
      </c>
      <c r="H137" s="27" t="n">
        <v>6.2</v>
      </c>
      <c r="I137" s="25" t="n">
        <v>81</v>
      </c>
      <c r="J137" s="25" t="s">
        <v>33</v>
      </c>
      <c r="K137" s="25" t="s">
        <v>181</v>
      </c>
      <c r="L137" s="25" t="s">
        <v>119</v>
      </c>
      <c r="M137" s="26" t="n">
        <v>508570000</v>
      </c>
      <c r="N137" s="28" t="n">
        <v>691.2</v>
      </c>
      <c r="O137" s="29" t="n">
        <f aca="false">G137+ROW()/10000000</f>
        <v>582153000.000014</v>
      </c>
    </row>
    <row r="138" customFormat="false" ht="15" hidden="false" customHeight="false" outlineLevel="0" collapsed="false">
      <c r="A138" s="25" t="n">
        <v>134</v>
      </c>
      <c r="B138" s="25" t="s">
        <v>261</v>
      </c>
      <c r="C138" s="25" t="s">
        <v>50</v>
      </c>
      <c r="D138" s="25" t="s">
        <v>25</v>
      </c>
      <c r="E138" s="25" t="n">
        <v>2013</v>
      </c>
      <c r="F138" s="26" t="n">
        <v>123474000</v>
      </c>
      <c r="G138" s="26" t="n">
        <v>1407192000</v>
      </c>
      <c r="H138" s="27" t="n">
        <v>5.4</v>
      </c>
      <c r="I138" s="25" t="n">
        <v>100</v>
      </c>
      <c r="J138" s="25" t="s">
        <v>42</v>
      </c>
      <c r="K138" s="25" t="s">
        <v>103</v>
      </c>
      <c r="L138" s="25" t="s">
        <v>146</v>
      </c>
      <c r="M138" s="26" t="n">
        <v>1283718000</v>
      </c>
      <c r="N138" s="28" t="n">
        <v>1039.7</v>
      </c>
      <c r="O138" s="29" t="n">
        <f aca="false">G138+ROW()/10000000</f>
        <v>1407192000.00001</v>
      </c>
    </row>
    <row r="139" customFormat="false" ht="15" hidden="false" customHeight="false" outlineLevel="0" collapsed="false">
      <c r="A139" s="25" t="n">
        <v>135</v>
      </c>
      <c r="B139" s="25" t="s">
        <v>262</v>
      </c>
      <c r="C139" s="25" t="s">
        <v>38</v>
      </c>
      <c r="D139" s="25" t="s">
        <v>67</v>
      </c>
      <c r="E139" s="25" t="n">
        <v>2014</v>
      </c>
      <c r="F139" s="26" t="n">
        <v>28385000</v>
      </c>
      <c r="G139" s="26" t="n">
        <v>52204000</v>
      </c>
      <c r="H139" s="27" t="n">
        <v>7.2</v>
      </c>
      <c r="I139" s="25" t="n">
        <v>157</v>
      </c>
      <c r="J139" s="25" t="s">
        <v>48</v>
      </c>
      <c r="K139" s="25" t="s">
        <v>103</v>
      </c>
      <c r="L139" s="25" t="s">
        <v>136</v>
      </c>
      <c r="M139" s="26" t="n">
        <v>23819000</v>
      </c>
      <c r="N139" s="28" t="n">
        <v>83.9</v>
      </c>
      <c r="O139" s="29" t="n">
        <f aca="false">G139+ROW()/10000000</f>
        <v>52204000.0000139</v>
      </c>
    </row>
    <row r="140" customFormat="false" ht="15" hidden="false" customHeight="false" outlineLevel="0" collapsed="false">
      <c r="A140" s="25" t="n">
        <v>136</v>
      </c>
      <c r="B140" s="25" t="s">
        <v>263</v>
      </c>
      <c r="C140" s="25" t="s">
        <v>20</v>
      </c>
      <c r="D140" s="25" t="s">
        <v>54</v>
      </c>
      <c r="E140" s="25" t="n">
        <v>2014</v>
      </c>
      <c r="F140" s="26" t="n">
        <v>142763000</v>
      </c>
      <c r="G140" s="26" t="n">
        <v>299809000</v>
      </c>
      <c r="H140" s="27" t="n">
        <v>6.6</v>
      </c>
      <c r="I140" s="25" t="n">
        <v>83</v>
      </c>
      <c r="J140" s="25" t="s">
        <v>33</v>
      </c>
      <c r="K140" s="25" t="s">
        <v>111</v>
      </c>
      <c r="L140" s="25" t="s">
        <v>128</v>
      </c>
      <c r="M140" s="26" t="n">
        <v>157046000</v>
      </c>
      <c r="N140" s="28" t="n">
        <v>110</v>
      </c>
      <c r="O140" s="29" t="n">
        <f aca="false">G140+ROW()/10000000</f>
        <v>299809000.000014</v>
      </c>
    </row>
    <row r="141" customFormat="false" ht="15" hidden="false" customHeight="false" outlineLevel="0" collapsed="false">
      <c r="A141" s="25" t="n">
        <v>137</v>
      </c>
      <c r="B141" s="25" t="s">
        <v>264</v>
      </c>
      <c r="C141" s="25" t="s">
        <v>23</v>
      </c>
      <c r="D141" s="25" t="s">
        <v>52</v>
      </c>
      <c r="E141" s="25" t="n">
        <v>2014</v>
      </c>
      <c r="F141" s="26" t="n">
        <v>50795000</v>
      </c>
      <c r="G141" s="26" t="n">
        <v>53403000</v>
      </c>
      <c r="H141" s="27" t="n">
        <v>7.8</v>
      </c>
      <c r="I141" s="25" t="n">
        <v>127</v>
      </c>
      <c r="J141" s="25" t="s">
        <v>39</v>
      </c>
      <c r="K141" s="25" t="s">
        <v>116</v>
      </c>
      <c r="L141" s="25" t="s">
        <v>119</v>
      </c>
      <c r="M141" s="26" t="n">
        <v>2608000</v>
      </c>
      <c r="N141" s="28" t="n">
        <v>5.1</v>
      </c>
      <c r="O141" s="29" t="n">
        <f aca="false">G141+ROW()/10000000</f>
        <v>53403000.0000141</v>
      </c>
    </row>
    <row r="142" customFormat="false" ht="15" hidden="false" customHeight="false" outlineLevel="0" collapsed="false">
      <c r="A142" s="25" t="n">
        <v>138</v>
      </c>
      <c r="B142" s="25" t="s">
        <v>265</v>
      </c>
      <c r="C142" s="25" t="s">
        <v>47</v>
      </c>
      <c r="D142" s="25" t="s">
        <v>31</v>
      </c>
      <c r="E142" s="25" t="n">
        <v>2014</v>
      </c>
      <c r="F142" s="26" t="n">
        <v>37064000</v>
      </c>
      <c r="G142" s="26" t="n">
        <v>23247000</v>
      </c>
      <c r="H142" s="27" t="n">
        <v>6.4</v>
      </c>
      <c r="I142" s="25" t="n">
        <v>123</v>
      </c>
      <c r="J142" s="25" t="s">
        <v>30</v>
      </c>
      <c r="K142" s="25" t="s">
        <v>103</v>
      </c>
      <c r="L142" s="25" t="s">
        <v>51</v>
      </c>
      <c r="M142" s="26" t="n">
        <v>-13817000</v>
      </c>
      <c r="N142" s="28" t="n">
        <v>-37.3</v>
      </c>
      <c r="O142" s="29" t="n">
        <f aca="false">G142+ROW()/10000000</f>
        <v>23247000.0000142</v>
      </c>
    </row>
    <row r="143" customFormat="false" ht="15" hidden="false" customHeight="false" outlineLevel="0" collapsed="false">
      <c r="A143" s="25" t="n">
        <v>139</v>
      </c>
      <c r="B143" s="25" t="s">
        <v>266</v>
      </c>
      <c r="C143" s="25" t="s">
        <v>32</v>
      </c>
      <c r="D143" s="25" t="s">
        <v>28</v>
      </c>
      <c r="E143" s="25" t="n">
        <v>2014</v>
      </c>
      <c r="F143" s="26" t="n">
        <v>22023000</v>
      </c>
      <c r="G143" s="26" t="n">
        <v>115915500</v>
      </c>
      <c r="H143" s="27" t="n">
        <v>2.9</v>
      </c>
      <c r="I143" s="25" t="n">
        <v>91</v>
      </c>
      <c r="J143" s="25" t="s">
        <v>21</v>
      </c>
      <c r="K143" s="25" t="s">
        <v>103</v>
      </c>
      <c r="L143" s="25" t="s">
        <v>184</v>
      </c>
      <c r="M143" s="26" t="n">
        <v>93892500</v>
      </c>
      <c r="N143" s="28" t="n">
        <v>426.3</v>
      </c>
      <c r="O143" s="29" t="n">
        <f aca="false">G143+ROW()/10000000</f>
        <v>115915500.000014</v>
      </c>
    </row>
    <row r="144" customFormat="false" ht="15" hidden="false" customHeight="false" outlineLevel="0" collapsed="false">
      <c r="A144" s="25" t="n">
        <v>140</v>
      </c>
      <c r="B144" s="25" t="s">
        <v>267</v>
      </c>
      <c r="C144" s="25" t="s">
        <v>38</v>
      </c>
      <c r="D144" s="25" t="s">
        <v>46</v>
      </c>
      <c r="E144" s="25" t="n">
        <v>2014</v>
      </c>
      <c r="F144" s="26" t="n">
        <v>4181000</v>
      </c>
      <c r="G144" s="26" t="n">
        <v>33717000</v>
      </c>
      <c r="H144" s="27" t="n">
        <v>6.7</v>
      </c>
      <c r="I144" s="25" t="n">
        <v>110</v>
      </c>
      <c r="J144" s="25" t="s">
        <v>42</v>
      </c>
      <c r="K144" s="25" t="s">
        <v>148</v>
      </c>
      <c r="L144" s="25" t="s">
        <v>51</v>
      </c>
      <c r="M144" s="26" t="n">
        <v>29536000</v>
      </c>
      <c r="N144" s="28" t="n">
        <v>706.4</v>
      </c>
      <c r="O144" s="29" t="n">
        <f aca="false">G144+ROW()/10000000</f>
        <v>33717000.0000144</v>
      </c>
    </row>
    <row r="145" customFormat="false" ht="15" hidden="false" customHeight="false" outlineLevel="0" collapsed="false">
      <c r="A145" s="25" t="n">
        <v>141</v>
      </c>
      <c r="B145" s="25" t="s">
        <v>268</v>
      </c>
      <c r="C145" s="25" t="s">
        <v>26</v>
      </c>
      <c r="D145" s="25" t="s">
        <v>56</v>
      </c>
      <c r="E145" s="25" t="n">
        <v>2014</v>
      </c>
      <c r="F145" s="26" t="n">
        <v>54639000</v>
      </c>
      <c r="G145" s="26" t="n">
        <v>124019000</v>
      </c>
      <c r="H145" s="27" t="n">
        <v>7.1</v>
      </c>
      <c r="I145" s="25" t="n">
        <v>129</v>
      </c>
      <c r="J145" s="25" t="s">
        <v>36</v>
      </c>
      <c r="K145" s="25" t="s">
        <v>113</v>
      </c>
      <c r="L145" s="25" t="s">
        <v>184</v>
      </c>
      <c r="M145" s="26" t="n">
        <v>69380000</v>
      </c>
      <c r="N145" s="28" t="n">
        <v>127</v>
      </c>
      <c r="O145" s="29" t="n">
        <f aca="false">G145+ROW()/10000000</f>
        <v>124019000.000015</v>
      </c>
    </row>
    <row r="146" customFormat="false" ht="15" hidden="false" customHeight="false" outlineLevel="0" collapsed="false">
      <c r="A146" s="25" t="n">
        <v>142</v>
      </c>
      <c r="B146" s="25" t="s">
        <v>269</v>
      </c>
      <c r="C146" s="25" t="s">
        <v>50</v>
      </c>
      <c r="D146" s="25" t="s">
        <v>31</v>
      </c>
      <c r="E146" s="25" t="n">
        <v>2014</v>
      </c>
      <c r="F146" s="26" t="n">
        <v>108788500</v>
      </c>
      <c r="G146" s="26" t="n">
        <v>107030000</v>
      </c>
      <c r="H146" s="27" t="n">
        <v>7.8</v>
      </c>
      <c r="I146" s="25" t="n">
        <v>127</v>
      </c>
      <c r="J146" s="25" t="s">
        <v>24</v>
      </c>
      <c r="K146" s="25" t="s">
        <v>118</v>
      </c>
      <c r="L146" s="25" t="s">
        <v>107</v>
      </c>
      <c r="M146" s="26" t="n">
        <v>-1758500</v>
      </c>
      <c r="N146" s="28" t="n">
        <v>-1.6</v>
      </c>
      <c r="O146" s="29" t="n">
        <f aca="false">G146+ROW()/10000000</f>
        <v>107030000.000015</v>
      </c>
    </row>
    <row r="147" customFormat="false" ht="15" hidden="false" customHeight="false" outlineLevel="0" collapsed="false">
      <c r="A147" s="25" t="n">
        <v>143</v>
      </c>
      <c r="B147" s="25" t="s">
        <v>270</v>
      </c>
      <c r="C147" s="25" t="s">
        <v>35</v>
      </c>
      <c r="D147" s="25" t="s">
        <v>62</v>
      </c>
      <c r="E147" s="25" t="n">
        <v>2014</v>
      </c>
      <c r="F147" s="26" t="n">
        <v>3955000</v>
      </c>
      <c r="G147" s="26" t="n">
        <v>20271000</v>
      </c>
      <c r="H147" s="27" t="n">
        <v>5.7</v>
      </c>
      <c r="I147" s="25" t="n">
        <v>116</v>
      </c>
      <c r="J147" s="25" t="s">
        <v>45</v>
      </c>
      <c r="K147" s="25" t="s">
        <v>144</v>
      </c>
      <c r="L147" s="25" t="s">
        <v>119</v>
      </c>
      <c r="M147" s="26" t="n">
        <v>16316000</v>
      </c>
      <c r="N147" s="28" t="n">
        <v>412.5</v>
      </c>
      <c r="O147" s="29" t="n">
        <f aca="false">G147+ROW()/10000000</f>
        <v>20271000.0000147</v>
      </c>
    </row>
    <row r="148" customFormat="false" ht="15" hidden="false" customHeight="false" outlineLevel="0" collapsed="false">
      <c r="A148" s="25" t="n">
        <v>144</v>
      </c>
      <c r="B148" s="25" t="s">
        <v>271</v>
      </c>
      <c r="C148" s="25" t="s">
        <v>20</v>
      </c>
      <c r="D148" s="25" t="s">
        <v>43</v>
      </c>
      <c r="E148" s="25" t="n">
        <v>2015</v>
      </c>
      <c r="F148" s="26" t="n">
        <v>104884000</v>
      </c>
      <c r="G148" s="26" t="n">
        <v>959689000</v>
      </c>
      <c r="H148" s="27" t="n">
        <v>5.6</v>
      </c>
      <c r="I148" s="25" t="n">
        <v>87</v>
      </c>
      <c r="J148" s="25" t="s">
        <v>30</v>
      </c>
      <c r="K148" s="25" t="s">
        <v>154</v>
      </c>
      <c r="L148" s="25" t="s">
        <v>107</v>
      </c>
      <c r="M148" s="26" t="n">
        <v>854805000</v>
      </c>
      <c r="N148" s="28" t="n">
        <v>815</v>
      </c>
      <c r="O148" s="29" t="n">
        <f aca="false">G148+ROW()/10000000</f>
        <v>959689000.000015</v>
      </c>
    </row>
    <row r="149" customFormat="false" ht="15" hidden="false" customHeight="false" outlineLevel="0" collapsed="false">
      <c r="A149" s="25" t="n">
        <v>145</v>
      </c>
      <c r="B149" s="25" t="s">
        <v>272</v>
      </c>
      <c r="C149" s="25" t="s">
        <v>38</v>
      </c>
      <c r="D149" s="25" t="s">
        <v>60</v>
      </c>
      <c r="E149" s="25" t="n">
        <v>2015</v>
      </c>
      <c r="F149" s="26" t="n">
        <v>23211500</v>
      </c>
      <c r="G149" s="26" t="n">
        <v>40913000</v>
      </c>
      <c r="H149" s="27" t="n">
        <v>5</v>
      </c>
      <c r="I149" s="25" t="n">
        <v>96</v>
      </c>
      <c r="J149" s="25" t="s">
        <v>30</v>
      </c>
      <c r="K149" s="25" t="s">
        <v>118</v>
      </c>
      <c r="L149" s="25" t="s">
        <v>104</v>
      </c>
      <c r="M149" s="26" t="n">
        <v>17701500</v>
      </c>
      <c r="N149" s="28" t="n">
        <v>76.3</v>
      </c>
      <c r="O149" s="29" t="n">
        <f aca="false">G149+ROW()/10000000</f>
        <v>40913000.0000149</v>
      </c>
    </row>
    <row r="150" customFormat="false" ht="15" hidden="false" customHeight="false" outlineLevel="0" collapsed="false">
      <c r="A150" s="25" t="n">
        <v>146</v>
      </c>
      <c r="B150" s="25" t="s">
        <v>273</v>
      </c>
      <c r="C150" s="25" t="s">
        <v>29</v>
      </c>
      <c r="D150" s="25" t="s">
        <v>63</v>
      </c>
      <c r="E150" s="25" t="n">
        <v>2015</v>
      </c>
      <c r="F150" s="26" t="n">
        <v>39878000</v>
      </c>
      <c r="G150" s="26" t="n">
        <v>103250000</v>
      </c>
      <c r="H150" s="27" t="n">
        <v>5.1</v>
      </c>
      <c r="I150" s="25" t="n">
        <v>86</v>
      </c>
      <c r="J150" s="25" t="s">
        <v>36</v>
      </c>
      <c r="K150" s="25" t="s">
        <v>116</v>
      </c>
      <c r="L150" s="25" t="s">
        <v>128</v>
      </c>
      <c r="M150" s="26" t="n">
        <v>63372000</v>
      </c>
      <c r="N150" s="28" t="n">
        <v>158.9</v>
      </c>
      <c r="O150" s="29" t="n">
        <f aca="false">G150+ROW()/10000000</f>
        <v>103250000.000015</v>
      </c>
    </row>
    <row r="151" customFormat="false" ht="15" hidden="false" customHeight="false" outlineLevel="0" collapsed="false">
      <c r="A151" s="25" t="n">
        <v>147</v>
      </c>
      <c r="B151" s="25" t="s">
        <v>274</v>
      </c>
      <c r="C151" s="25" t="s">
        <v>26</v>
      </c>
      <c r="D151" s="25" t="s">
        <v>40</v>
      </c>
      <c r="E151" s="25" t="n">
        <v>2015</v>
      </c>
      <c r="F151" s="26" t="n">
        <v>92290000</v>
      </c>
      <c r="G151" s="26" t="n">
        <v>221861000</v>
      </c>
      <c r="H151" s="27" t="n">
        <v>6.6</v>
      </c>
      <c r="I151" s="25" t="n">
        <v>110</v>
      </c>
      <c r="J151" s="25" t="s">
        <v>51</v>
      </c>
      <c r="K151" s="25" t="s">
        <v>116</v>
      </c>
      <c r="L151" s="25" t="s">
        <v>107</v>
      </c>
      <c r="M151" s="26" t="n">
        <v>129571000</v>
      </c>
      <c r="N151" s="28" t="n">
        <v>140.4</v>
      </c>
      <c r="O151" s="29" t="n">
        <f aca="false">G151+ROW()/10000000</f>
        <v>221861000.000015</v>
      </c>
    </row>
    <row r="152" customFormat="false" ht="15" hidden="false" customHeight="false" outlineLevel="0" collapsed="false">
      <c r="A152" s="25" t="n">
        <v>148</v>
      </c>
      <c r="B152" s="25" t="s">
        <v>275</v>
      </c>
      <c r="C152" s="25" t="s">
        <v>26</v>
      </c>
      <c r="D152" s="25" t="s">
        <v>28</v>
      </c>
      <c r="E152" s="25" t="n">
        <v>2016</v>
      </c>
      <c r="F152" s="26" t="n">
        <v>89850000</v>
      </c>
      <c r="G152" s="26" t="n">
        <v>66754000</v>
      </c>
      <c r="H152" s="27" t="n">
        <v>5</v>
      </c>
      <c r="I152" s="25" t="n">
        <v>126</v>
      </c>
      <c r="J152" s="25" t="s">
        <v>45</v>
      </c>
      <c r="K152" s="25" t="s">
        <v>116</v>
      </c>
      <c r="L152" s="25" t="s">
        <v>104</v>
      </c>
      <c r="M152" s="26" t="n">
        <v>-23096000</v>
      </c>
      <c r="N152" s="28" t="n">
        <v>-25.7</v>
      </c>
      <c r="O152" s="29" t="n">
        <f aca="false">G152+ROW()/10000000</f>
        <v>66754000.0000152</v>
      </c>
    </row>
    <row r="153" customFormat="false" ht="15" hidden="false" customHeight="false" outlineLevel="0" collapsed="false">
      <c r="A153" s="25" t="n">
        <v>149</v>
      </c>
      <c r="B153" s="25" t="s">
        <v>276</v>
      </c>
      <c r="C153" s="25" t="s">
        <v>41</v>
      </c>
      <c r="D153" s="25" t="s">
        <v>77</v>
      </c>
      <c r="E153" s="25" t="n">
        <v>2016</v>
      </c>
      <c r="F153" s="26" t="n">
        <v>65236000</v>
      </c>
      <c r="G153" s="26" t="n">
        <v>128070000</v>
      </c>
      <c r="H153" s="27" t="n">
        <v>7.4</v>
      </c>
      <c r="I153" s="25" t="n">
        <v>87</v>
      </c>
      <c r="J153" s="25" t="s">
        <v>24</v>
      </c>
      <c r="K153" s="25" t="s">
        <v>125</v>
      </c>
      <c r="L153" s="25" t="s">
        <v>51</v>
      </c>
      <c r="M153" s="26" t="n">
        <v>62834000</v>
      </c>
      <c r="N153" s="28" t="n">
        <v>96.3</v>
      </c>
      <c r="O153" s="29" t="n">
        <f aca="false">G153+ROW()/10000000</f>
        <v>128070000.000015</v>
      </c>
    </row>
    <row r="154" customFormat="false" ht="15" hidden="false" customHeight="false" outlineLevel="0" collapsed="false">
      <c r="A154" s="25" t="n">
        <v>150</v>
      </c>
      <c r="B154" s="25" t="s">
        <v>277</v>
      </c>
      <c r="C154" s="25" t="s">
        <v>23</v>
      </c>
      <c r="D154" s="25" t="s">
        <v>61</v>
      </c>
      <c r="E154" s="25" t="n">
        <v>2016</v>
      </c>
      <c r="F154" s="26" t="n">
        <v>66473000</v>
      </c>
      <c r="G154" s="26" t="n">
        <v>216196000</v>
      </c>
      <c r="H154" s="27" t="n">
        <v>6.5</v>
      </c>
      <c r="I154" s="25" t="n">
        <v>134</v>
      </c>
      <c r="J154" s="25" t="s">
        <v>30</v>
      </c>
      <c r="K154" s="25" t="s">
        <v>144</v>
      </c>
      <c r="L154" s="25" t="s">
        <v>146</v>
      </c>
      <c r="M154" s="26" t="n">
        <v>149723000</v>
      </c>
      <c r="N154" s="28" t="n">
        <v>225.2</v>
      </c>
      <c r="O154" s="29" t="n">
        <f aca="false">G154+ROW()/10000000</f>
        <v>216196000.000015</v>
      </c>
    </row>
    <row r="155" customFormat="false" ht="15" hidden="false" customHeight="false" outlineLevel="0" collapsed="false">
      <c r="A155" s="25" t="n">
        <v>151</v>
      </c>
      <c r="B155" s="25" t="s">
        <v>278</v>
      </c>
      <c r="C155" s="25" t="s">
        <v>50</v>
      </c>
      <c r="D155" s="25" t="s">
        <v>72</v>
      </c>
      <c r="E155" s="25" t="n">
        <v>2016</v>
      </c>
      <c r="F155" s="26" t="n">
        <v>81997000</v>
      </c>
      <c r="G155" s="26" t="n">
        <v>311900000</v>
      </c>
      <c r="H155" s="27" t="n">
        <v>5.3</v>
      </c>
      <c r="I155" s="25" t="n">
        <v>109</v>
      </c>
      <c r="J155" s="25" t="s">
        <v>30</v>
      </c>
      <c r="K155" s="25" t="s">
        <v>111</v>
      </c>
      <c r="L155" s="25" t="s">
        <v>146</v>
      </c>
      <c r="M155" s="26" t="n">
        <v>229903000</v>
      </c>
      <c r="N155" s="28" t="n">
        <v>280.4</v>
      </c>
      <c r="O155" s="29" t="n">
        <f aca="false">G155+ROW()/10000000</f>
        <v>311900000.000016</v>
      </c>
    </row>
    <row r="156" customFormat="false" ht="15" hidden="false" customHeight="false" outlineLevel="0" collapsed="false">
      <c r="A156" s="25" t="n">
        <v>152</v>
      </c>
      <c r="B156" s="25" t="s">
        <v>279</v>
      </c>
      <c r="C156" s="25" t="s">
        <v>41</v>
      </c>
      <c r="D156" s="25" t="s">
        <v>72</v>
      </c>
      <c r="E156" s="25" t="n">
        <v>2016</v>
      </c>
      <c r="F156" s="26" t="n">
        <v>98308000</v>
      </c>
      <c r="G156" s="26" t="n">
        <v>206299000</v>
      </c>
      <c r="H156" s="27" t="n">
        <v>6.6</v>
      </c>
      <c r="I156" s="25" t="n">
        <v>75</v>
      </c>
      <c r="J156" s="25" t="s">
        <v>21</v>
      </c>
      <c r="K156" s="25" t="s">
        <v>116</v>
      </c>
      <c r="L156" s="25" t="s">
        <v>131</v>
      </c>
      <c r="M156" s="26" t="n">
        <v>107991000</v>
      </c>
      <c r="N156" s="28" t="n">
        <v>109.8</v>
      </c>
      <c r="O156" s="29" t="n">
        <f aca="false">G156+ROW()/10000000</f>
        <v>206299000.000016</v>
      </c>
    </row>
    <row r="157" customFormat="false" ht="15" hidden="false" customHeight="false" outlineLevel="0" collapsed="false">
      <c r="A157" s="25" t="n">
        <v>153</v>
      </c>
      <c r="B157" s="25" t="s">
        <v>280</v>
      </c>
      <c r="C157" s="25" t="s">
        <v>53</v>
      </c>
      <c r="D157" s="25" t="s">
        <v>61</v>
      </c>
      <c r="E157" s="25" t="n">
        <v>2016</v>
      </c>
      <c r="F157" s="26" t="n">
        <v>44479000</v>
      </c>
      <c r="G157" s="26" t="n">
        <v>49759000</v>
      </c>
      <c r="H157" s="27" t="n">
        <v>9.2</v>
      </c>
      <c r="I157" s="25" t="n">
        <v>114</v>
      </c>
      <c r="J157" s="25" t="s">
        <v>39</v>
      </c>
      <c r="K157" s="25" t="s">
        <v>125</v>
      </c>
      <c r="L157" s="25" t="s">
        <v>146</v>
      </c>
      <c r="M157" s="26" t="n">
        <v>5280000</v>
      </c>
      <c r="N157" s="28" t="n">
        <v>11.9</v>
      </c>
      <c r="O157" s="29" t="n">
        <f aca="false">G157+ROW()/10000000</f>
        <v>49759000.0000157</v>
      </c>
    </row>
    <row r="158" customFormat="false" ht="15" hidden="false" customHeight="false" outlineLevel="0" collapsed="false">
      <c r="A158" s="25" t="n">
        <v>154</v>
      </c>
      <c r="B158" s="25" t="s">
        <v>281</v>
      </c>
      <c r="C158" s="25" t="s">
        <v>32</v>
      </c>
      <c r="D158" s="25" t="s">
        <v>63</v>
      </c>
      <c r="E158" s="25" t="n">
        <v>2016</v>
      </c>
      <c r="F158" s="26" t="n">
        <v>38584000</v>
      </c>
      <c r="G158" s="26" t="n">
        <v>188808000</v>
      </c>
      <c r="H158" s="27" t="n">
        <v>8.3</v>
      </c>
      <c r="I158" s="25" t="n">
        <v>132</v>
      </c>
      <c r="J158" s="25" t="s">
        <v>48</v>
      </c>
      <c r="K158" s="25" t="s">
        <v>154</v>
      </c>
      <c r="L158" s="25" t="s">
        <v>136</v>
      </c>
      <c r="M158" s="26" t="n">
        <v>150224000</v>
      </c>
      <c r="N158" s="28" t="n">
        <v>389.3</v>
      </c>
      <c r="O158" s="29" t="n">
        <f aca="false">G158+ROW()/10000000</f>
        <v>188808000.000016</v>
      </c>
    </row>
    <row r="159" customFormat="false" ht="15" hidden="false" customHeight="false" outlineLevel="0" collapsed="false">
      <c r="A159" s="25" t="n">
        <v>155</v>
      </c>
      <c r="B159" s="25" t="s">
        <v>282</v>
      </c>
      <c r="C159" s="25" t="s">
        <v>23</v>
      </c>
      <c r="D159" s="25" t="s">
        <v>56</v>
      </c>
      <c r="E159" s="25" t="n">
        <v>2016</v>
      </c>
      <c r="F159" s="26" t="n">
        <v>68708000</v>
      </c>
      <c r="G159" s="26" t="n">
        <v>148399000</v>
      </c>
      <c r="H159" s="27" t="n">
        <v>6.6</v>
      </c>
      <c r="I159" s="25" t="n">
        <v>88</v>
      </c>
      <c r="J159" s="25" t="s">
        <v>39</v>
      </c>
      <c r="K159" s="25" t="s">
        <v>181</v>
      </c>
      <c r="L159" s="25" t="s">
        <v>184</v>
      </c>
      <c r="M159" s="26" t="n">
        <v>79691000</v>
      </c>
      <c r="N159" s="28" t="n">
        <v>116</v>
      </c>
      <c r="O159" s="29" t="n">
        <f aca="false">G159+ROW()/10000000</f>
        <v>148399000.000016</v>
      </c>
    </row>
    <row r="160" customFormat="false" ht="15" hidden="false" customHeight="false" outlineLevel="0" collapsed="false">
      <c r="A160" s="25" t="n">
        <v>156</v>
      </c>
      <c r="B160" s="25" t="s">
        <v>283</v>
      </c>
      <c r="C160" s="25" t="s">
        <v>35</v>
      </c>
      <c r="D160" s="25" t="s">
        <v>28</v>
      </c>
      <c r="E160" s="25" t="n">
        <v>2017</v>
      </c>
      <c r="F160" s="26" t="n">
        <v>4495000</v>
      </c>
      <c r="G160" s="26" t="n">
        <v>4616000</v>
      </c>
      <c r="H160" s="27" t="n">
        <v>8.3</v>
      </c>
      <c r="I160" s="25" t="n">
        <v>83</v>
      </c>
      <c r="J160" s="25" t="s">
        <v>45</v>
      </c>
      <c r="K160" s="25" t="s">
        <v>170</v>
      </c>
      <c r="L160" s="25" t="s">
        <v>141</v>
      </c>
      <c r="M160" s="26" t="n">
        <v>121000</v>
      </c>
      <c r="N160" s="28" t="n">
        <v>2.7</v>
      </c>
      <c r="O160" s="29" t="n">
        <f aca="false">G160+ROW()/10000000</f>
        <v>4616000.000016</v>
      </c>
    </row>
    <row r="161" customFormat="false" ht="15" hidden="false" customHeight="false" outlineLevel="0" collapsed="false">
      <c r="A161" s="25" t="n">
        <v>157</v>
      </c>
      <c r="B161" s="25" t="s">
        <v>284</v>
      </c>
      <c r="C161" s="25" t="s">
        <v>38</v>
      </c>
      <c r="D161" s="25" t="s">
        <v>54</v>
      </c>
      <c r="E161" s="25" t="n">
        <v>2017</v>
      </c>
      <c r="F161" s="26" t="n">
        <v>22546000</v>
      </c>
      <c r="G161" s="26" t="n">
        <v>32719000</v>
      </c>
      <c r="H161" s="27" t="n">
        <v>5.5</v>
      </c>
      <c r="I161" s="25" t="n">
        <v>95</v>
      </c>
      <c r="J161" s="25" t="s">
        <v>24</v>
      </c>
      <c r="K161" s="25" t="s">
        <v>121</v>
      </c>
      <c r="L161" s="25" t="s">
        <v>109</v>
      </c>
      <c r="M161" s="26" t="n">
        <v>10173000</v>
      </c>
      <c r="N161" s="28" t="n">
        <v>45.1</v>
      </c>
      <c r="O161" s="29" t="n">
        <f aca="false">G161+ROW()/10000000</f>
        <v>32719000.0000161</v>
      </c>
    </row>
    <row r="162" customFormat="false" ht="15" hidden="false" customHeight="false" outlineLevel="0" collapsed="false">
      <c r="A162" s="25" t="n">
        <v>158</v>
      </c>
      <c r="B162" s="25" t="s">
        <v>285</v>
      </c>
      <c r="C162" s="25" t="s">
        <v>41</v>
      </c>
      <c r="D162" s="25" t="s">
        <v>68</v>
      </c>
      <c r="E162" s="25" t="n">
        <v>2017</v>
      </c>
      <c r="F162" s="26" t="n">
        <v>78278000</v>
      </c>
      <c r="G162" s="26" t="n">
        <v>210985000</v>
      </c>
      <c r="H162" s="27" t="n">
        <v>8.1</v>
      </c>
      <c r="I162" s="25" t="n">
        <v>83</v>
      </c>
      <c r="J162" s="25" t="s">
        <v>42</v>
      </c>
      <c r="K162" s="25" t="s">
        <v>139</v>
      </c>
      <c r="L162" s="25" t="s">
        <v>104</v>
      </c>
      <c r="M162" s="26" t="n">
        <v>132707000</v>
      </c>
      <c r="N162" s="28" t="n">
        <v>169.5</v>
      </c>
      <c r="O162" s="29" t="n">
        <f aca="false">G162+ROW()/10000000</f>
        <v>210985000.000016</v>
      </c>
    </row>
    <row r="163" customFormat="false" ht="15" hidden="false" customHeight="false" outlineLevel="0" collapsed="false">
      <c r="A163" s="25" t="n">
        <v>159</v>
      </c>
      <c r="B163" s="25" t="s">
        <v>286</v>
      </c>
      <c r="C163" s="25" t="s">
        <v>20</v>
      </c>
      <c r="D163" s="25" t="s">
        <v>57</v>
      </c>
      <c r="E163" s="25" t="n">
        <v>2017</v>
      </c>
      <c r="F163" s="26" t="n">
        <v>62671000</v>
      </c>
      <c r="G163" s="26" t="n">
        <v>171259000</v>
      </c>
      <c r="H163" s="27" t="n">
        <v>6.9</v>
      </c>
      <c r="I163" s="25" t="n">
        <v>149</v>
      </c>
      <c r="J163" s="25" t="s">
        <v>24</v>
      </c>
      <c r="K163" s="25" t="s">
        <v>148</v>
      </c>
      <c r="L163" s="25" t="s">
        <v>109</v>
      </c>
      <c r="M163" s="26" t="n">
        <v>108588000</v>
      </c>
      <c r="N163" s="28" t="n">
        <v>173.3</v>
      </c>
      <c r="O163" s="29" t="n">
        <f aca="false">G163+ROW()/10000000</f>
        <v>171259000.000016</v>
      </c>
    </row>
    <row r="164" customFormat="false" ht="15" hidden="false" customHeight="false" outlineLevel="0" collapsed="false">
      <c r="A164" s="25" t="n">
        <v>160</v>
      </c>
      <c r="B164" s="25" t="s">
        <v>287</v>
      </c>
      <c r="C164" s="25" t="s">
        <v>53</v>
      </c>
      <c r="D164" s="25" t="s">
        <v>62</v>
      </c>
      <c r="E164" s="25" t="n">
        <v>2017</v>
      </c>
      <c r="F164" s="26" t="n">
        <v>51042000</v>
      </c>
      <c r="G164" s="26" t="n">
        <v>94803000</v>
      </c>
      <c r="H164" s="27" t="n">
        <v>6.7</v>
      </c>
      <c r="I164" s="25" t="n">
        <v>112</v>
      </c>
      <c r="J164" s="25" t="s">
        <v>36</v>
      </c>
      <c r="K164" s="25" t="s">
        <v>113</v>
      </c>
      <c r="L164" s="25" t="s">
        <v>122</v>
      </c>
      <c r="M164" s="26" t="n">
        <v>43761000</v>
      </c>
      <c r="N164" s="28" t="n">
        <v>85.7</v>
      </c>
      <c r="O164" s="29" t="n">
        <f aca="false">G164+ROW()/10000000</f>
        <v>94803000.0000164</v>
      </c>
    </row>
    <row r="165" customFormat="false" ht="15" hidden="false" customHeight="false" outlineLevel="0" collapsed="false">
      <c r="A165" s="25" t="n">
        <v>161</v>
      </c>
      <c r="B165" s="25" t="s">
        <v>288</v>
      </c>
      <c r="C165" s="25" t="s">
        <v>38</v>
      </c>
      <c r="D165" s="25" t="s">
        <v>56</v>
      </c>
      <c r="E165" s="25" t="n">
        <v>2017</v>
      </c>
      <c r="F165" s="26" t="n">
        <v>32910000</v>
      </c>
      <c r="G165" s="26" t="n">
        <v>42829000</v>
      </c>
      <c r="H165" s="27" t="n">
        <v>8</v>
      </c>
      <c r="I165" s="25" t="n">
        <v>83</v>
      </c>
      <c r="J165" s="25" t="s">
        <v>48</v>
      </c>
      <c r="K165" s="25" t="s">
        <v>154</v>
      </c>
      <c r="L165" s="25" t="s">
        <v>51</v>
      </c>
      <c r="M165" s="26" t="n">
        <v>9919000</v>
      </c>
      <c r="N165" s="28" t="n">
        <v>30.1</v>
      </c>
      <c r="O165" s="29" t="n">
        <f aca="false">G165+ROW()/10000000</f>
        <v>42829000.0000165</v>
      </c>
    </row>
    <row r="166" customFormat="false" ht="15" hidden="false" customHeight="false" outlineLevel="0" collapsed="false">
      <c r="A166" s="25" t="n">
        <v>162</v>
      </c>
      <c r="B166" s="25" t="s">
        <v>289</v>
      </c>
      <c r="C166" s="25" t="s">
        <v>47</v>
      </c>
      <c r="D166" s="25" t="s">
        <v>66</v>
      </c>
      <c r="E166" s="25" t="n">
        <v>2017</v>
      </c>
      <c r="F166" s="26" t="n">
        <v>18212000</v>
      </c>
      <c r="G166" s="26" t="n">
        <v>73840000</v>
      </c>
      <c r="H166" s="27" t="n">
        <v>7</v>
      </c>
      <c r="I166" s="25" t="n">
        <v>110</v>
      </c>
      <c r="J166" s="25" t="s">
        <v>24</v>
      </c>
      <c r="K166" s="25" t="s">
        <v>118</v>
      </c>
      <c r="L166" s="25" t="s">
        <v>107</v>
      </c>
      <c r="M166" s="26" t="n">
        <v>55628000</v>
      </c>
      <c r="N166" s="28" t="n">
        <v>305.4</v>
      </c>
      <c r="O166" s="29" t="n">
        <f aca="false">G166+ROW()/10000000</f>
        <v>73840000.0000166</v>
      </c>
    </row>
    <row r="167" customFormat="false" ht="15" hidden="false" customHeight="false" outlineLevel="0" collapsed="false">
      <c r="A167" s="25" t="n">
        <v>163</v>
      </c>
      <c r="B167" s="25" t="s">
        <v>290</v>
      </c>
      <c r="C167" s="25" t="s">
        <v>47</v>
      </c>
      <c r="D167" s="25" t="s">
        <v>60</v>
      </c>
      <c r="E167" s="25" t="n">
        <v>2018</v>
      </c>
      <c r="F167" s="26" t="n">
        <v>22369000</v>
      </c>
      <c r="G167" s="26" t="n">
        <v>66050000</v>
      </c>
      <c r="H167" s="27" t="n">
        <v>6.5</v>
      </c>
      <c r="I167" s="25" t="n">
        <v>107</v>
      </c>
      <c r="J167" s="25" t="s">
        <v>33</v>
      </c>
      <c r="K167" s="25" t="s">
        <v>144</v>
      </c>
      <c r="L167" s="25" t="s">
        <v>114</v>
      </c>
      <c r="M167" s="26" t="n">
        <v>43681000</v>
      </c>
      <c r="N167" s="28" t="n">
        <v>195.3</v>
      </c>
      <c r="O167" s="29" t="n">
        <f aca="false">G167+ROW()/10000000</f>
        <v>66050000.0000167</v>
      </c>
    </row>
    <row r="168" customFormat="false" ht="15" hidden="false" customHeight="false" outlineLevel="0" collapsed="false">
      <c r="A168" s="25" t="n">
        <v>164</v>
      </c>
      <c r="B168" s="25" t="s">
        <v>291</v>
      </c>
      <c r="C168" s="25" t="s">
        <v>38</v>
      </c>
      <c r="D168" s="25" t="s">
        <v>52</v>
      </c>
      <c r="E168" s="25" t="n">
        <v>2018</v>
      </c>
      <c r="F168" s="26" t="n">
        <v>10215000</v>
      </c>
      <c r="G168" s="26" t="n">
        <v>15179000</v>
      </c>
      <c r="H168" s="27" t="n">
        <v>6</v>
      </c>
      <c r="I168" s="25" t="n">
        <v>133</v>
      </c>
      <c r="J168" s="25" t="s">
        <v>27</v>
      </c>
      <c r="K168" s="25" t="s">
        <v>154</v>
      </c>
      <c r="L168" s="25" t="s">
        <v>114</v>
      </c>
      <c r="M168" s="26" t="n">
        <v>4964000</v>
      </c>
      <c r="N168" s="28" t="n">
        <v>48.6</v>
      </c>
      <c r="O168" s="29" t="n">
        <f aca="false">G168+ROW()/10000000</f>
        <v>15179000.0000168</v>
      </c>
    </row>
    <row r="169" customFormat="false" ht="15" hidden="false" customHeight="false" outlineLevel="0" collapsed="false">
      <c r="A169" s="25" t="n">
        <v>165</v>
      </c>
      <c r="B169" s="25" t="s">
        <v>292</v>
      </c>
      <c r="C169" s="25" t="s">
        <v>50</v>
      </c>
      <c r="D169" s="25" t="s">
        <v>69</v>
      </c>
      <c r="E169" s="25" t="n">
        <v>2018</v>
      </c>
      <c r="F169" s="26" t="n">
        <v>107275000</v>
      </c>
      <c r="G169" s="26" t="n">
        <v>313923000</v>
      </c>
      <c r="H169" s="27" t="n">
        <v>7</v>
      </c>
      <c r="I169" s="25" t="n">
        <v>95</v>
      </c>
      <c r="J169" s="25" t="s">
        <v>36</v>
      </c>
      <c r="K169" s="25" t="s">
        <v>181</v>
      </c>
      <c r="L169" s="25" t="s">
        <v>128</v>
      </c>
      <c r="M169" s="26" t="n">
        <v>206648000</v>
      </c>
      <c r="N169" s="28" t="n">
        <v>192.6</v>
      </c>
      <c r="O169" s="29" t="n">
        <f aca="false">G169+ROW()/10000000</f>
        <v>313923000.000017</v>
      </c>
    </row>
    <row r="170" customFormat="false" ht="15" hidden="false" customHeight="false" outlineLevel="0" collapsed="false">
      <c r="A170" s="25" t="n">
        <v>166</v>
      </c>
      <c r="B170" s="25" t="s">
        <v>293</v>
      </c>
      <c r="C170" s="25" t="s">
        <v>23</v>
      </c>
      <c r="D170" s="25" t="s">
        <v>54</v>
      </c>
      <c r="E170" s="25" t="n">
        <v>2018</v>
      </c>
      <c r="F170" s="26" t="n">
        <v>106943000</v>
      </c>
      <c r="G170" s="26" t="n">
        <v>685629000</v>
      </c>
      <c r="H170" s="27" t="n">
        <v>5.4</v>
      </c>
      <c r="I170" s="25" t="n">
        <v>125</v>
      </c>
      <c r="J170" s="25" t="s">
        <v>39</v>
      </c>
      <c r="K170" s="25" t="s">
        <v>106</v>
      </c>
      <c r="L170" s="25" t="s">
        <v>146</v>
      </c>
      <c r="M170" s="26" t="n">
        <v>578686000</v>
      </c>
      <c r="N170" s="28" t="n">
        <v>541.1</v>
      </c>
      <c r="O170" s="29" t="n">
        <f aca="false">G170+ROW()/10000000</f>
        <v>685629000.000017</v>
      </c>
    </row>
    <row r="171" customFormat="false" ht="15" hidden="false" customHeight="false" outlineLevel="0" collapsed="false">
      <c r="A171" s="25" t="n">
        <v>167</v>
      </c>
      <c r="B171" s="25" t="s">
        <v>294</v>
      </c>
      <c r="C171" s="25" t="s">
        <v>53</v>
      </c>
      <c r="D171" s="25" t="s">
        <v>46</v>
      </c>
      <c r="E171" s="25" t="n">
        <v>2018</v>
      </c>
      <c r="F171" s="26" t="n">
        <v>41925000</v>
      </c>
      <c r="G171" s="26" t="n">
        <v>147818000</v>
      </c>
      <c r="H171" s="27" t="n">
        <v>7.3</v>
      </c>
      <c r="I171" s="25" t="n">
        <v>89</v>
      </c>
      <c r="J171" s="25" t="s">
        <v>45</v>
      </c>
      <c r="K171" s="25" t="s">
        <v>144</v>
      </c>
      <c r="L171" s="25" t="s">
        <v>51</v>
      </c>
      <c r="M171" s="26" t="n">
        <v>105893000</v>
      </c>
      <c r="N171" s="28" t="n">
        <v>252.6</v>
      </c>
      <c r="O171" s="29" t="n">
        <f aca="false">G171+ROW()/10000000</f>
        <v>147818000.000017</v>
      </c>
    </row>
    <row r="172" customFormat="false" ht="15" hidden="false" customHeight="false" outlineLevel="0" collapsed="false">
      <c r="A172" s="25" t="n">
        <v>168</v>
      </c>
      <c r="B172" s="25" t="s">
        <v>295</v>
      </c>
      <c r="C172" s="25" t="s">
        <v>53</v>
      </c>
      <c r="D172" s="25" t="s">
        <v>51</v>
      </c>
      <c r="E172" s="25" t="n">
        <v>2018</v>
      </c>
      <c r="F172" s="26" t="n">
        <v>30195000</v>
      </c>
      <c r="G172" s="26" t="n">
        <v>56616000</v>
      </c>
      <c r="H172" s="27" t="n">
        <v>6.8</v>
      </c>
      <c r="I172" s="25" t="n">
        <v>118</v>
      </c>
      <c r="J172" s="25" t="s">
        <v>48</v>
      </c>
      <c r="K172" s="25" t="s">
        <v>116</v>
      </c>
      <c r="L172" s="25" t="s">
        <v>104</v>
      </c>
      <c r="M172" s="26" t="n">
        <v>26421000</v>
      </c>
      <c r="N172" s="28" t="n">
        <v>87.5</v>
      </c>
      <c r="O172" s="29" t="n">
        <f aca="false">G172+ROW()/10000000</f>
        <v>56616000.0000172</v>
      </c>
    </row>
    <row r="173" customFormat="false" ht="15" hidden="false" customHeight="false" outlineLevel="0" collapsed="false">
      <c r="A173" s="25" t="n">
        <v>169</v>
      </c>
      <c r="B173" s="25" t="s">
        <v>296</v>
      </c>
      <c r="C173" s="25" t="s">
        <v>23</v>
      </c>
      <c r="D173" s="25" t="s">
        <v>49</v>
      </c>
      <c r="E173" s="25" t="n">
        <v>2018</v>
      </c>
      <c r="F173" s="26" t="n">
        <v>93831000</v>
      </c>
      <c r="G173" s="26" t="n">
        <v>122544000</v>
      </c>
      <c r="H173" s="27" t="n">
        <v>7.2</v>
      </c>
      <c r="I173" s="25" t="n">
        <v>78</v>
      </c>
      <c r="J173" s="25" t="s">
        <v>39</v>
      </c>
      <c r="K173" s="25" t="s">
        <v>121</v>
      </c>
      <c r="L173" s="25" t="s">
        <v>122</v>
      </c>
      <c r="M173" s="26" t="n">
        <v>28713000</v>
      </c>
      <c r="N173" s="28" t="n">
        <v>30.6</v>
      </c>
      <c r="O173" s="29" t="n">
        <f aca="false">G173+ROW()/10000000</f>
        <v>122544000.000017</v>
      </c>
    </row>
    <row r="174" customFormat="false" ht="15" hidden="false" customHeight="false" outlineLevel="0" collapsed="false">
      <c r="A174" s="25" t="n">
        <v>170</v>
      </c>
      <c r="B174" s="25" t="s">
        <v>297</v>
      </c>
      <c r="C174" s="25" t="s">
        <v>26</v>
      </c>
      <c r="D174" s="25" t="s">
        <v>77</v>
      </c>
      <c r="E174" s="25" t="n">
        <v>2018</v>
      </c>
      <c r="F174" s="26" t="n">
        <v>96029000</v>
      </c>
      <c r="G174" s="26" t="n">
        <v>119148000</v>
      </c>
      <c r="H174" s="27" t="n">
        <v>6.6</v>
      </c>
      <c r="I174" s="25" t="n">
        <v>127</v>
      </c>
      <c r="J174" s="25" t="s">
        <v>24</v>
      </c>
      <c r="K174" s="25" t="s">
        <v>113</v>
      </c>
      <c r="L174" s="25" t="s">
        <v>114</v>
      </c>
      <c r="M174" s="26" t="n">
        <v>23119000</v>
      </c>
      <c r="N174" s="28" t="n">
        <v>24.1</v>
      </c>
      <c r="O174" s="29" t="n">
        <f aca="false">G174+ROW()/10000000</f>
        <v>119148000.000017</v>
      </c>
    </row>
    <row r="175" customFormat="false" ht="15" hidden="false" customHeight="false" outlineLevel="0" collapsed="false">
      <c r="A175" s="25" t="n">
        <v>171</v>
      </c>
      <c r="B175" s="25" t="s">
        <v>298</v>
      </c>
      <c r="C175" s="25" t="s">
        <v>23</v>
      </c>
      <c r="D175" s="25" t="s">
        <v>68</v>
      </c>
      <c r="E175" s="25" t="n">
        <v>2018</v>
      </c>
      <c r="F175" s="26" t="n">
        <v>61985000</v>
      </c>
      <c r="G175" s="26" t="n">
        <v>233939000</v>
      </c>
      <c r="H175" s="27" t="n">
        <v>7.6</v>
      </c>
      <c r="I175" s="25" t="n">
        <v>130</v>
      </c>
      <c r="J175" s="25" t="s">
        <v>30</v>
      </c>
      <c r="K175" s="25" t="s">
        <v>103</v>
      </c>
      <c r="L175" s="25" t="s">
        <v>141</v>
      </c>
      <c r="M175" s="26" t="n">
        <v>171954000</v>
      </c>
      <c r="N175" s="28" t="n">
        <v>277.4</v>
      </c>
      <c r="O175" s="29" t="n">
        <f aca="false">G175+ROW()/10000000</f>
        <v>233939000.000018</v>
      </c>
    </row>
    <row r="176" customFormat="false" ht="15" hidden="false" customHeight="false" outlineLevel="0" collapsed="false">
      <c r="A176" s="25" t="n">
        <v>172</v>
      </c>
      <c r="B176" s="25" t="s">
        <v>299</v>
      </c>
      <c r="C176" s="25" t="s">
        <v>35</v>
      </c>
      <c r="D176" s="25" t="s">
        <v>22</v>
      </c>
      <c r="E176" s="25" t="n">
        <v>2019</v>
      </c>
      <c r="F176" s="26" t="n">
        <v>6120000</v>
      </c>
      <c r="G176" s="26" t="n">
        <v>32074000</v>
      </c>
      <c r="H176" s="27" t="n">
        <v>7.4</v>
      </c>
      <c r="I176" s="25" t="n">
        <v>121</v>
      </c>
      <c r="J176" s="25" t="s">
        <v>42</v>
      </c>
      <c r="K176" s="25" t="s">
        <v>106</v>
      </c>
      <c r="L176" s="25" t="s">
        <v>128</v>
      </c>
      <c r="M176" s="26" t="n">
        <v>25954000</v>
      </c>
      <c r="N176" s="28" t="n">
        <v>424.1</v>
      </c>
      <c r="O176" s="29" t="n">
        <f aca="false">G176+ROW()/10000000</f>
        <v>32074000.0000176</v>
      </c>
    </row>
    <row r="177" customFormat="false" ht="15" hidden="false" customHeight="false" outlineLevel="0" collapsed="false">
      <c r="A177" s="25" t="n">
        <v>173</v>
      </c>
      <c r="B177" s="25" t="s">
        <v>300</v>
      </c>
      <c r="C177" s="25" t="s">
        <v>26</v>
      </c>
      <c r="D177" s="25" t="s">
        <v>60</v>
      </c>
      <c r="E177" s="25" t="n">
        <v>2019</v>
      </c>
      <c r="F177" s="26" t="n">
        <v>89273000</v>
      </c>
      <c r="G177" s="26" t="n">
        <v>938683000</v>
      </c>
      <c r="H177" s="27" t="n">
        <v>7.5</v>
      </c>
      <c r="I177" s="25" t="n">
        <v>105</v>
      </c>
      <c r="J177" s="25" t="s">
        <v>33</v>
      </c>
      <c r="K177" s="25" t="s">
        <v>111</v>
      </c>
      <c r="L177" s="25" t="s">
        <v>141</v>
      </c>
      <c r="M177" s="26" t="n">
        <v>849410000</v>
      </c>
      <c r="N177" s="28" t="n">
        <v>951.5</v>
      </c>
      <c r="O177" s="29" t="n">
        <f aca="false">G177+ROW()/10000000</f>
        <v>938683000.000018</v>
      </c>
    </row>
    <row r="178" customFormat="false" ht="15" hidden="false" customHeight="false" outlineLevel="0" collapsed="false">
      <c r="A178" s="25" t="n">
        <v>174</v>
      </c>
      <c r="B178" s="25" t="s">
        <v>301</v>
      </c>
      <c r="C178" s="25" t="s">
        <v>47</v>
      </c>
      <c r="D178" s="25" t="s">
        <v>63</v>
      </c>
      <c r="E178" s="25" t="n">
        <v>2019</v>
      </c>
      <c r="F178" s="26" t="n">
        <v>21367000</v>
      </c>
      <c r="G178" s="26" t="n">
        <v>46204000</v>
      </c>
      <c r="H178" s="27" t="n">
        <v>6.5</v>
      </c>
      <c r="I178" s="25" t="n">
        <v>118</v>
      </c>
      <c r="J178" s="25" t="s">
        <v>21</v>
      </c>
      <c r="K178" s="25" t="s">
        <v>154</v>
      </c>
      <c r="L178" s="25" t="s">
        <v>119</v>
      </c>
      <c r="M178" s="26" t="n">
        <v>24837000</v>
      </c>
      <c r="N178" s="28" t="n">
        <v>116.2</v>
      </c>
      <c r="O178" s="29" t="n">
        <f aca="false">G178+ROW()/10000000</f>
        <v>46204000.0000178</v>
      </c>
    </row>
    <row r="179" customFormat="false" ht="15" hidden="false" customHeight="false" outlineLevel="0" collapsed="false">
      <c r="A179" s="25" t="n">
        <v>175</v>
      </c>
      <c r="B179" s="25" t="s">
        <v>302</v>
      </c>
      <c r="C179" s="25" t="s">
        <v>41</v>
      </c>
      <c r="D179" s="25" t="s">
        <v>69</v>
      </c>
      <c r="E179" s="25" t="n">
        <v>2019</v>
      </c>
      <c r="F179" s="26" t="n">
        <v>102711000</v>
      </c>
      <c r="G179" s="26" t="n">
        <v>87435000</v>
      </c>
      <c r="H179" s="27" t="n">
        <v>8.2</v>
      </c>
      <c r="I179" s="25" t="n">
        <v>147</v>
      </c>
      <c r="J179" s="25" t="s">
        <v>48</v>
      </c>
      <c r="K179" s="25" t="s">
        <v>121</v>
      </c>
      <c r="L179" s="25" t="s">
        <v>128</v>
      </c>
      <c r="M179" s="26" t="n">
        <v>-15276000</v>
      </c>
      <c r="N179" s="28" t="n">
        <v>-14.9</v>
      </c>
      <c r="O179" s="29" t="n">
        <f aca="false">G179+ROW()/10000000</f>
        <v>87435000.0000179</v>
      </c>
    </row>
    <row r="180" customFormat="false" ht="15" hidden="false" customHeight="false" outlineLevel="0" collapsed="false">
      <c r="A180" s="25" t="n">
        <v>176</v>
      </c>
      <c r="B180" s="25" t="s">
        <v>303</v>
      </c>
      <c r="C180" s="25" t="s">
        <v>44</v>
      </c>
      <c r="D180" s="25" t="s">
        <v>58</v>
      </c>
      <c r="E180" s="25" t="n">
        <v>2019</v>
      </c>
      <c r="F180" s="26" t="n">
        <v>8777000</v>
      </c>
      <c r="G180" s="26" t="n">
        <v>18894000</v>
      </c>
      <c r="H180" s="27" t="n">
        <v>5.5</v>
      </c>
      <c r="I180" s="25" t="n">
        <v>84</v>
      </c>
      <c r="J180" s="25" t="s">
        <v>30</v>
      </c>
      <c r="K180" s="25" t="s">
        <v>106</v>
      </c>
      <c r="L180" s="25" t="s">
        <v>136</v>
      </c>
      <c r="M180" s="26" t="n">
        <v>10117000</v>
      </c>
      <c r="N180" s="28" t="n">
        <v>115.3</v>
      </c>
      <c r="O180" s="29" t="n">
        <f aca="false">G180+ROW()/10000000</f>
        <v>18894000.000018</v>
      </c>
    </row>
    <row r="181" customFormat="false" ht="15" hidden="false" customHeight="false" outlineLevel="0" collapsed="false">
      <c r="A181" s="25" t="n">
        <v>177</v>
      </c>
      <c r="B181" s="25" t="s">
        <v>304</v>
      </c>
      <c r="C181" s="25" t="s">
        <v>50</v>
      </c>
      <c r="D181" s="25" t="s">
        <v>51</v>
      </c>
      <c r="E181" s="25" t="n">
        <v>2019</v>
      </c>
      <c r="F181" s="26" t="n">
        <v>113045000</v>
      </c>
      <c r="G181" s="26" t="n">
        <v>115817000</v>
      </c>
      <c r="H181" s="27" t="n">
        <v>7.5</v>
      </c>
      <c r="I181" s="25" t="n">
        <v>108</v>
      </c>
      <c r="J181" s="25" t="s">
        <v>24</v>
      </c>
      <c r="K181" s="25" t="s">
        <v>170</v>
      </c>
      <c r="L181" s="25" t="s">
        <v>119</v>
      </c>
      <c r="M181" s="26" t="n">
        <v>2772000</v>
      </c>
      <c r="N181" s="28" t="n">
        <v>2.5</v>
      </c>
      <c r="O181" s="29" t="n">
        <f aca="false">G181+ROW()/10000000</f>
        <v>115817000.000018</v>
      </c>
    </row>
    <row r="182" customFormat="false" ht="15" hidden="false" customHeight="false" outlineLevel="0" collapsed="false">
      <c r="A182" s="25" t="n">
        <v>178</v>
      </c>
      <c r="B182" s="25" t="s">
        <v>305</v>
      </c>
      <c r="C182" s="25" t="s">
        <v>35</v>
      </c>
      <c r="D182" s="25" t="s">
        <v>76</v>
      </c>
      <c r="E182" s="25" t="n">
        <v>2019</v>
      </c>
      <c r="F182" s="26" t="n">
        <v>2599000</v>
      </c>
      <c r="G182" s="26" t="n">
        <v>5059000</v>
      </c>
      <c r="H182" s="27" t="n">
        <v>6</v>
      </c>
      <c r="I182" s="25" t="n">
        <v>98</v>
      </c>
      <c r="J182" s="25" t="s">
        <v>27</v>
      </c>
      <c r="K182" s="25" t="s">
        <v>181</v>
      </c>
      <c r="L182" s="25" t="s">
        <v>128</v>
      </c>
      <c r="M182" s="26" t="n">
        <v>2460000</v>
      </c>
      <c r="N182" s="28" t="n">
        <v>94.7</v>
      </c>
      <c r="O182" s="29" t="n">
        <f aca="false">G182+ROW()/10000000</f>
        <v>5059000.0000182</v>
      </c>
    </row>
    <row r="183" customFormat="false" ht="15" hidden="false" customHeight="false" outlineLevel="0" collapsed="false">
      <c r="A183" s="25" t="n">
        <v>179</v>
      </c>
      <c r="B183" s="25" t="s">
        <v>306</v>
      </c>
      <c r="C183" s="25" t="s">
        <v>26</v>
      </c>
      <c r="D183" s="25" t="s">
        <v>40</v>
      </c>
      <c r="E183" s="25" t="n">
        <v>2019</v>
      </c>
      <c r="F183" s="26" t="n">
        <v>113870000</v>
      </c>
      <c r="G183" s="26" t="n">
        <v>81772000</v>
      </c>
      <c r="H183" s="27" t="n">
        <v>5.2</v>
      </c>
      <c r="I183" s="25" t="n">
        <v>75</v>
      </c>
      <c r="J183" s="25" t="s">
        <v>21</v>
      </c>
      <c r="K183" s="25" t="s">
        <v>139</v>
      </c>
      <c r="L183" s="25" t="s">
        <v>107</v>
      </c>
      <c r="M183" s="26" t="n">
        <v>-32098000</v>
      </c>
      <c r="N183" s="28" t="n">
        <v>-28.2</v>
      </c>
      <c r="O183" s="29" t="n">
        <f aca="false">G183+ROW()/10000000</f>
        <v>81772000.0000183</v>
      </c>
    </row>
    <row r="184" customFormat="false" ht="15" hidden="false" customHeight="false" outlineLevel="0" collapsed="false">
      <c r="A184" s="25" t="n">
        <v>180</v>
      </c>
      <c r="B184" s="25" t="s">
        <v>307</v>
      </c>
      <c r="C184" s="25" t="s">
        <v>47</v>
      </c>
      <c r="D184" s="25" t="s">
        <v>25</v>
      </c>
      <c r="E184" s="25" t="n">
        <v>2019</v>
      </c>
      <c r="F184" s="26" t="n">
        <v>10223000</v>
      </c>
      <c r="G184" s="26" t="n">
        <v>41419000</v>
      </c>
      <c r="H184" s="27" t="n">
        <v>6.2</v>
      </c>
      <c r="I184" s="25" t="n">
        <v>104</v>
      </c>
      <c r="J184" s="25" t="s">
        <v>42</v>
      </c>
      <c r="K184" s="25" t="s">
        <v>111</v>
      </c>
      <c r="L184" s="25" t="s">
        <v>122</v>
      </c>
      <c r="M184" s="26" t="n">
        <v>31196000</v>
      </c>
      <c r="N184" s="28" t="n">
        <v>305.2</v>
      </c>
      <c r="O184" s="29" t="n">
        <f aca="false">G184+ROW()/10000000</f>
        <v>41419000.0000184</v>
      </c>
    </row>
    <row r="185" customFormat="false" ht="15" hidden="false" customHeight="false" outlineLevel="0" collapsed="false">
      <c r="A185" s="25" t="n">
        <v>181</v>
      </c>
      <c r="B185" s="25" t="s">
        <v>308</v>
      </c>
      <c r="C185" s="25" t="s">
        <v>53</v>
      </c>
      <c r="D185" s="25" t="s">
        <v>62</v>
      </c>
      <c r="E185" s="25" t="n">
        <v>2019</v>
      </c>
      <c r="F185" s="26" t="n">
        <v>30821000</v>
      </c>
      <c r="G185" s="26" t="n">
        <v>51697000</v>
      </c>
      <c r="H185" s="27" t="n">
        <v>6.5</v>
      </c>
      <c r="I185" s="25" t="n">
        <v>101</v>
      </c>
      <c r="J185" s="25" t="s">
        <v>42</v>
      </c>
      <c r="K185" s="25" t="s">
        <v>121</v>
      </c>
      <c r="L185" s="25" t="s">
        <v>107</v>
      </c>
      <c r="M185" s="26" t="n">
        <v>20876000</v>
      </c>
      <c r="N185" s="28" t="n">
        <v>67.7</v>
      </c>
      <c r="O185" s="29" t="n">
        <f aca="false">G185+ROW()/10000000</f>
        <v>51697000.0000185</v>
      </c>
    </row>
    <row r="186" customFormat="false" ht="15" hidden="false" customHeight="false" outlineLevel="0" collapsed="false">
      <c r="A186" s="25" t="n">
        <v>182</v>
      </c>
      <c r="B186" s="25" t="s">
        <v>309</v>
      </c>
      <c r="C186" s="25" t="s">
        <v>53</v>
      </c>
      <c r="D186" s="25" t="s">
        <v>34</v>
      </c>
      <c r="E186" s="25" t="n">
        <v>2020</v>
      </c>
      <c r="F186" s="26" t="n">
        <v>33277000</v>
      </c>
      <c r="G186" s="26" t="n">
        <v>67196000</v>
      </c>
      <c r="H186" s="27" t="n">
        <v>5</v>
      </c>
      <c r="I186" s="25" t="n">
        <v>93</v>
      </c>
      <c r="J186" s="25" t="s">
        <v>21</v>
      </c>
      <c r="K186" s="25" t="s">
        <v>154</v>
      </c>
      <c r="L186" s="25" t="s">
        <v>128</v>
      </c>
      <c r="M186" s="26" t="n">
        <v>33919000</v>
      </c>
      <c r="N186" s="28" t="n">
        <v>101.9</v>
      </c>
      <c r="O186" s="29" t="n">
        <f aca="false">G186+ROW()/10000000</f>
        <v>67196000.0000186</v>
      </c>
    </row>
    <row r="187" customFormat="false" ht="15" hidden="false" customHeight="false" outlineLevel="0" collapsed="false">
      <c r="A187" s="25" t="n">
        <v>183</v>
      </c>
      <c r="B187" s="25" t="s">
        <v>310</v>
      </c>
      <c r="C187" s="25" t="s">
        <v>50</v>
      </c>
      <c r="D187" s="25" t="s">
        <v>72</v>
      </c>
      <c r="E187" s="25" t="n">
        <v>2020</v>
      </c>
      <c r="F187" s="26" t="n">
        <v>162020000</v>
      </c>
      <c r="G187" s="26" t="n">
        <v>198120000</v>
      </c>
      <c r="H187" s="27" t="n">
        <v>7.6</v>
      </c>
      <c r="I187" s="25" t="n">
        <v>107</v>
      </c>
      <c r="J187" s="25" t="s">
        <v>27</v>
      </c>
      <c r="K187" s="25" t="s">
        <v>152</v>
      </c>
      <c r="L187" s="25" t="s">
        <v>141</v>
      </c>
      <c r="M187" s="26" t="n">
        <v>36100000</v>
      </c>
      <c r="N187" s="28" t="n">
        <v>22.3</v>
      </c>
      <c r="O187" s="29" t="n">
        <f aca="false">G187+ROW()/10000000</f>
        <v>198120000.000019</v>
      </c>
    </row>
    <row r="188" customFormat="false" ht="15" hidden="false" customHeight="false" outlineLevel="0" collapsed="false">
      <c r="A188" s="25" t="n">
        <v>184</v>
      </c>
      <c r="B188" s="25" t="s">
        <v>311</v>
      </c>
      <c r="C188" s="25" t="s">
        <v>50</v>
      </c>
      <c r="D188" s="25" t="s">
        <v>63</v>
      </c>
      <c r="E188" s="25" t="n">
        <v>2020</v>
      </c>
      <c r="F188" s="26" t="n">
        <v>96916000</v>
      </c>
      <c r="G188" s="26" t="n">
        <v>302672000</v>
      </c>
      <c r="H188" s="27" t="n">
        <v>6.8</v>
      </c>
      <c r="I188" s="25" t="n">
        <v>128</v>
      </c>
      <c r="J188" s="25" t="s">
        <v>51</v>
      </c>
      <c r="K188" s="25" t="s">
        <v>113</v>
      </c>
      <c r="L188" s="25" t="s">
        <v>184</v>
      </c>
      <c r="M188" s="26" t="n">
        <v>205756000</v>
      </c>
      <c r="N188" s="28" t="n">
        <v>212.3</v>
      </c>
      <c r="O188" s="29" t="n">
        <f aca="false">G188+ROW()/10000000</f>
        <v>302672000.000019</v>
      </c>
    </row>
    <row r="189" customFormat="false" ht="15" hidden="false" customHeight="false" outlineLevel="0" collapsed="false">
      <c r="A189" s="25" t="n">
        <v>185</v>
      </c>
      <c r="B189" s="25" t="s">
        <v>312</v>
      </c>
      <c r="C189" s="25" t="s">
        <v>32</v>
      </c>
      <c r="D189" s="25" t="s">
        <v>28</v>
      </c>
      <c r="E189" s="25" t="n">
        <v>2020</v>
      </c>
      <c r="F189" s="26" t="n">
        <v>24942000</v>
      </c>
      <c r="G189" s="26" t="n">
        <v>52833000</v>
      </c>
      <c r="H189" s="27" t="n">
        <v>6.8</v>
      </c>
      <c r="I189" s="25" t="n">
        <v>141</v>
      </c>
      <c r="J189" s="25" t="s">
        <v>39</v>
      </c>
      <c r="K189" s="25" t="s">
        <v>170</v>
      </c>
      <c r="L189" s="25" t="s">
        <v>131</v>
      </c>
      <c r="M189" s="26" t="n">
        <v>27891000</v>
      </c>
      <c r="N189" s="28" t="n">
        <v>111.8</v>
      </c>
      <c r="O189" s="29" t="n">
        <f aca="false">G189+ROW()/10000000</f>
        <v>52833000.0000189</v>
      </c>
    </row>
    <row r="190" customFormat="false" ht="15" hidden="false" customHeight="false" outlineLevel="0" collapsed="false">
      <c r="A190" s="25" t="n">
        <v>186</v>
      </c>
      <c r="B190" s="25" t="s">
        <v>313</v>
      </c>
      <c r="C190" s="25" t="s">
        <v>35</v>
      </c>
      <c r="D190" s="25" t="s">
        <v>46</v>
      </c>
      <c r="E190" s="25" t="n">
        <v>2020</v>
      </c>
      <c r="F190" s="26" t="n">
        <v>5091000</v>
      </c>
      <c r="G190" s="26" t="n">
        <v>36243000</v>
      </c>
      <c r="H190" s="27" t="n">
        <v>5.8</v>
      </c>
      <c r="I190" s="25" t="n">
        <v>128</v>
      </c>
      <c r="J190" s="25" t="s">
        <v>33</v>
      </c>
      <c r="K190" s="25" t="s">
        <v>103</v>
      </c>
      <c r="L190" s="25" t="s">
        <v>131</v>
      </c>
      <c r="M190" s="26" t="n">
        <v>31152000</v>
      </c>
      <c r="N190" s="28" t="n">
        <v>611.9</v>
      </c>
      <c r="O190" s="29" t="n">
        <f aca="false">G190+ROW()/10000000</f>
        <v>36243000.000019</v>
      </c>
    </row>
    <row r="191" customFormat="false" ht="15" hidden="false" customHeight="false" outlineLevel="0" collapsed="false">
      <c r="A191" s="25" t="n">
        <v>187</v>
      </c>
      <c r="B191" s="25" t="s">
        <v>314</v>
      </c>
      <c r="C191" s="25" t="s">
        <v>41</v>
      </c>
      <c r="D191" s="25" t="s">
        <v>55</v>
      </c>
      <c r="E191" s="25" t="n">
        <v>2020</v>
      </c>
      <c r="F191" s="26" t="n">
        <v>173308000</v>
      </c>
      <c r="G191" s="26" t="n">
        <v>1456529000</v>
      </c>
      <c r="H191" s="27" t="n">
        <v>6.2</v>
      </c>
      <c r="I191" s="25" t="n">
        <v>131</v>
      </c>
      <c r="J191" s="25" t="s">
        <v>24</v>
      </c>
      <c r="K191" s="25" t="s">
        <v>181</v>
      </c>
      <c r="L191" s="25" t="s">
        <v>109</v>
      </c>
      <c r="M191" s="26" t="n">
        <v>1283221000</v>
      </c>
      <c r="N191" s="28" t="n">
        <v>740.4</v>
      </c>
      <c r="O191" s="29" t="n">
        <f aca="false">G191+ROW()/10000000</f>
        <v>1456529000.00002</v>
      </c>
    </row>
    <row r="192" customFormat="false" ht="15" hidden="false" customHeight="false" outlineLevel="0" collapsed="false">
      <c r="A192" s="25" t="n">
        <v>188</v>
      </c>
      <c r="B192" s="25" t="s">
        <v>315</v>
      </c>
      <c r="C192" s="25" t="s">
        <v>44</v>
      </c>
      <c r="D192" s="25" t="s">
        <v>49</v>
      </c>
      <c r="E192" s="25" t="n">
        <v>2020</v>
      </c>
      <c r="F192" s="26" t="n">
        <v>18090000</v>
      </c>
      <c r="G192" s="26" t="n">
        <v>660031000</v>
      </c>
      <c r="H192" s="27" t="n">
        <v>7.1</v>
      </c>
      <c r="I192" s="25" t="n">
        <v>134</v>
      </c>
      <c r="J192" s="25" t="s">
        <v>33</v>
      </c>
      <c r="K192" s="25" t="s">
        <v>154</v>
      </c>
      <c r="L192" s="25" t="s">
        <v>107</v>
      </c>
      <c r="M192" s="26" t="n">
        <v>641941000</v>
      </c>
      <c r="N192" s="28" t="n">
        <v>3548.6</v>
      </c>
      <c r="O192" s="29" t="n">
        <f aca="false">G192+ROW()/10000000</f>
        <v>660031000.000019</v>
      </c>
    </row>
    <row r="193" customFormat="false" ht="15" hidden="false" customHeight="false" outlineLevel="0" collapsed="false">
      <c r="A193" s="25" t="n">
        <v>189</v>
      </c>
      <c r="B193" s="25" t="s">
        <v>316</v>
      </c>
      <c r="C193" s="25" t="s">
        <v>26</v>
      </c>
      <c r="D193" s="25" t="s">
        <v>28</v>
      </c>
      <c r="E193" s="25" t="n">
        <v>2020</v>
      </c>
      <c r="F193" s="26" t="n">
        <v>75907000</v>
      </c>
      <c r="G193" s="26" t="n">
        <v>123669000</v>
      </c>
      <c r="H193" s="27" t="n">
        <v>4.6</v>
      </c>
      <c r="I193" s="25" t="n">
        <v>110</v>
      </c>
      <c r="J193" s="25" t="s">
        <v>42</v>
      </c>
      <c r="K193" s="25" t="s">
        <v>118</v>
      </c>
      <c r="L193" s="25" t="s">
        <v>109</v>
      </c>
      <c r="M193" s="26" t="n">
        <v>47762000</v>
      </c>
      <c r="N193" s="28" t="n">
        <v>62.9</v>
      </c>
      <c r="O193" s="29" t="n">
        <f aca="false">G193+ROW()/10000000</f>
        <v>123669000.000019</v>
      </c>
    </row>
    <row r="194" customFormat="false" ht="15" hidden="false" customHeight="false" outlineLevel="0" collapsed="false">
      <c r="A194" s="25" t="n">
        <v>190</v>
      </c>
      <c r="B194" s="25" t="s">
        <v>317</v>
      </c>
      <c r="C194" s="25" t="s">
        <v>20</v>
      </c>
      <c r="D194" s="25" t="s">
        <v>63</v>
      </c>
      <c r="E194" s="25" t="n">
        <v>2020</v>
      </c>
      <c r="F194" s="26" t="n">
        <v>92168000</v>
      </c>
      <c r="G194" s="26" t="n">
        <v>1271415000</v>
      </c>
      <c r="H194" s="27" t="n">
        <v>6.3</v>
      </c>
      <c r="I194" s="25" t="n">
        <v>118</v>
      </c>
      <c r="J194" s="25" t="s">
        <v>48</v>
      </c>
      <c r="K194" s="25" t="s">
        <v>152</v>
      </c>
      <c r="L194" s="25" t="s">
        <v>51</v>
      </c>
      <c r="M194" s="26" t="n">
        <v>1179247000</v>
      </c>
      <c r="N194" s="28" t="n">
        <v>1279.5</v>
      </c>
      <c r="O194" s="29" t="n">
        <f aca="false">G194+ROW()/10000000</f>
        <v>1271415000.00002</v>
      </c>
    </row>
    <row r="195" customFormat="false" ht="15" hidden="false" customHeight="false" outlineLevel="0" collapsed="false">
      <c r="A195" s="25" t="n">
        <v>191</v>
      </c>
      <c r="B195" s="25" t="s">
        <v>318</v>
      </c>
      <c r="C195" s="25" t="s">
        <v>53</v>
      </c>
      <c r="D195" s="25" t="s">
        <v>58</v>
      </c>
      <c r="E195" s="25" t="n">
        <v>2020</v>
      </c>
      <c r="F195" s="26" t="n">
        <v>39209000</v>
      </c>
      <c r="G195" s="26" t="n">
        <v>154666000</v>
      </c>
      <c r="H195" s="27" t="n">
        <v>5.3</v>
      </c>
      <c r="I195" s="25" t="n">
        <v>119</v>
      </c>
      <c r="J195" s="25" t="s">
        <v>39</v>
      </c>
      <c r="K195" s="25" t="s">
        <v>106</v>
      </c>
      <c r="L195" s="25" t="s">
        <v>114</v>
      </c>
      <c r="M195" s="26" t="n">
        <v>115457000</v>
      </c>
      <c r="N195" s="28" t="n">
        <v>294.5</v>
      </c>
      <c r="O195" s="29" t="n">
        <f aca="false">G195+ROW()/10000000</f>
        <v>154666000.00002</v>
      </c>
    </row>
    <row r="196" customFormat="false" ht="15" hidden="false" customHeight="false" outlineLevel="0" collapsed="false">
      <c r="A196" s="25" t="n">
        <v>192</v>
      </c>
      <c r="B196" s="25" t="s">
        <v>319</v>
      </c>
      <c r="C196" s="25" t="s">
        <v>47</v>
      </c>
      <c r="D196" s="25" t="s">
        <v>55</v>
      </c>
      <c r="E196" s="25" t="n">
        <v>2020</v>
      </c>
      <c r="F196" s="26" t="n">
        <v>25456000</v>
      </c>
      <c r="G196" s="26" t="n">
        <v>50388000</v>
      </c>
      <c r="H196" s="27" t="n">
        <v>6.9</v>
      </c>
      <c r="I196" s="25" t="n">
        <v>109</v>
      </c>
      <c r="J196" s="25" t="s">
        <v>48</v>
      </c>
      <c r="K196" s="25" t="s">
        <v>154</v>
      </c>
      <c r="L196" s="25" t="s">
        <v>119</v>
      </c>
      <c r="M196" s="26" t="n">
        <v>24932000</v>
      </c>
      <c r="N196" s="28" t="n">
        <v>97.9</v>
      </c>
      <c r="O196" s="29" t="n">
        <f aca="false">G196+ROW()/10000000</f>
        <v>50388000.0000196</v>
      </c>
    </row>
    <row r="197" customFormat="false" ht="15" hidden="false" customHeight="false" outlineLevel="0" collapsed="false">
      <c r="A197" s="25" t="n">
        <v>193</v>
      </c>
      <c r="B197" s="25" t="s">
        <v>320</v>
      </c>
      <c r="C197" s="25" t="s">
        <v>50</v>
      </c>
      <c r="D197" s="25" t="s">
        <v>64</v>
      </c>
      <c r="E197" s="25" t="n">
        <v>2020</v>
      </c>
      <c r="F197" s="26" t="n">
        <v>146527000</v>
      </c>
      <c r="G197" s="26" t="n">
        <v>362988000</v>
      </c>
      <c r="H197" s="27" t="n">
        <v>5.4</v>
      </c>
      <c r="I197" s="25" t="n">
        <v>121</v>
      </c>
      <c r="J197" s="25" t="s">
        <v>39</v>
      </c>
      <c r="K197" s="25" t="s">
        <v>170</v>
      </c>
      <c r="L197" s="25" t="s">
        <v>119</v>
      </c>
      <c r="M197" s="26" t="n">
        <v>216461000</v>
      </c>
      <c r="N197" s="28" t="n">
        <v>147.7</v>
      </c>
      <c r="O197" s="29" t="n">
        <f aca="false">G197+ROW()/10000000</f>
        <v>362988000.00002</v>
      </c>
    </row>
    <row r="198" customFormat="false" ht="15" hidden="false" customHeight="false" outlineLevel="0" collapsed="false">
      <c r="A198" s="25" t="n">
        <v>194</v>
      </c>
      <c r="B198" s="25" t="s">
        <v>321</v>
      </c>
      <c r="C198" s="25" t="s">
        <v>41</v>
      </c>
      <c r="D198" s="25" t="s">
        <v>43</v>
      </c>
      <c r="E198" s="25" t="n">
        <v>2021</v>
      </c>
      <c r="F198" s="26" t="n">
        <v>71762000</v>
      </c>
      <c r="G198" s="26" t="n">
        <v>65937000</v>
      </c>
      <c r="H198" s="27" t="n">
        <v>5.5</v>
      </c>
      <c r="I198" s="25" t="n">
        <v>84</v>
      </c>
      <c r="J198" s="25" t="s">
        <v>27</v>
      </c>
      <c r="K198" s="25" t="s">
        <v>144</v>
      </c>
      <c r="L198" s="25" t="s">
        <v>119</v>
      </c>
      <c r="M198" s="26" t="n">
        <v>-5825000</v>
      </c>
      <c r="N198" s="28" t="n">
        <v>-8.1</v>
      </c>
      <c r="O198" s="29" t="n">
        <f aca="false">G198+ROW()/10000000</f>
        <v>65937000.0000198</v>
      </c>
    </row>
    <row r="199" customFormat="false" ht="15" hidden="false" customHeight="false" outlineLevel="0" collapsed="false">
      <c r="A199" s="25" t="n">
        <v>195</v>
      </c>
      <c r="B199" s="25" t="s">
        <v>322</v>
      </c>
      <c r="C199" s="25" t="s">
        <v>32</v>
      </c>
      <c r="D199" s="25" t="s">
        <v>72</v>
      </c>
      <c r="E199" s="25" t="n">
        <v>2021</v>
      </c>
      <c r="F199" s="26" t="n">
        <v>46700000</v>
      </c>
      <c r="G199" s="26" t="n">
        <v>52088000</v>
      </c>
      <c r="H199" s="27" t="n">
        <v>7.1</v>
      </c>
      <c r="I199" s="25" t="n">
        <v>140</v>
      </c>
      <c r="J199" s="25" t="s">
        <v>24</v>
      </c>
      <c r="K199" s="25" t="s">
        <v>106</v>
      </c>
      <c r="L199" s="25" t="s">
        <v>136</v>
      </c>
      <c r="M199" s="26" t="n">
        <v>5388000</v>
      </c>
      <c r="N199" s="28" t="n">
        <v>11.5</v>
      </c>
      <c r="O199" s="29" t="n">
        <f aca="false">G199+ROW()/10000000</f>
        <v>52088000.0000199</v>
      </c>
    </row>
    <row r="200" customFormat="false" ht="15" hidden="false" customHeight="false" outlineLevel="0" collapsed="false">
      <c r="A200" s="25" t="n">
        <v>196</v>
      </c>
      <c r="B200" s="25" t="s">
        <v>323</v>
      </c>
      <c r="C200" s="25" t="s">
        <v>47</v>
      </c>
      <c r="D200" s="25" t="s">
        <v>52</v>
      </c>
      <c r="E200" s="25" t="n">
        <v>2021</v>
      </c>
      <c r="F200" s="26" t="n">
        <v>19892000</v>
      </c>
      <c r="G200" s="26" t="n">
        <v>23334000</v>
      </c>
      <c r="H200" s="27" t="n">
        <v>7.4</v>
      </c>
      <c r="I200" s="25" t="n">
        <v>87</v>
      </c>
      <c r="J200" s="25" t="s">
        <v>39</v>
      </c>
      <c r="K200" s="25" t="s">
        <v>111</v>
      </c>
      <c r="L200" s="25" t="s">
        <v>122</v>
      </c>
      <c r="M200" s="26" t="n">
        <v>3442000</v>
      </c>
      <c r="N200" s="28" t="n">
        <v>17.3</v>
      </c>
      <c r="O200" s="29" t="n">
        <f aca="false">G200+ROW()/10000000</f>
        <v>23334000.00002</v>
      </c>
    </row>
    <row r="201" customFormat="false" ht="15" hidden="false" customHeight="false" outlineLevel="0" collapsed="false">
      <c r="A201" s="25" t="n">
        <v>197</v>
      </c>
      <c r="B201" s="25" t="s">
        <v>324</v>
      </c>
      <c r="C201" s="25" t="s">
        <v>50</v>
      </c>
      <c r="D201" s="25" t="s">
        <v>49</v>
      </c>
      <c r="E201" s="25" t="n">
        <v>2021</v>
      </c>
      <c r="F201" s="26" t="n">
        <v>76974000</v>
      </c>
      <c r="G201" s="26" t="n">
        <v>206207000</v>
      </c>
      <c r="H201" s="27" t="n">
        <v>9.3</v>
      </c>
      <c r="I201" s="25" t="n">
        <v>110</v>
      </c>
      <c r="J201" s="25" t="s">
        <v>45</v>
      </c>
      <c r="K201" s="25" t="s">
        <v>113</v>
      </c>
      <c r="L201" s="25" t="s">
        <v>146</v>
      </c>
      <c r="M201" s="26" t="n">
        <v>129233000</v>
      </c>
      <c r="N201" s="28" t="n">
        <v>167.9</v>
      </c>
      <c r="O201" s="29" t="n">
        <f aca="false">G201+ROW()/10000000</f>
        <v>206207000.00002</v>
      </c>
    </row>
    <row r="202" customFormat="false" ht="15" hidden="false" customHeight="false" outlineLevel="0" collapsed="false">
      <c r="A202" s="25" t="n">
        <v>198</v>
      </c>
      <c r="B202" s="25" t="s">
        <v>325</v>
      </c>
      <c r="C202" s="25" t="s">
        <v>41</v>
      </c>
      <c r="D202" s="25" t="s">
        <v>31</v>
      </c>
      <c r="E202" s="25" t="n">
        <v>2021</v>
      </c>
      <c r="F202" s="26" t="n">
        <v>52798000</v>
      </c>
      <c r="G202" s="26" t="n">
        <v>442776000</v>
      </c>
      <c r="H202" s="27" t="n">
        <v>7.5</v>
      </c>
      <c r="I202" s="25" t="n">
        <v>137</v>
      </c>
      <c r="J202" s="25" t="s">
        <v>27</v>
      </c>
      <c r="K202" s="25" t="s">
        <v>152</v>
      </c>
      <c r="L202" s="25" t="s">
        <v>128</v>
      </c>
      <c r="M202" s="26" t="n">
        <v>389978000</v>
      </c>
      <c r="N202" s="28" t="n">
        <v>738.6</v>
      </c>
      <c r="O202" s="29" t="n">
        <f aca="false">G202+ROW()/10000000</f>
        <v>442776000.00002</v>
      </c>
    </row>
    <row r="203" customFormat="false" ht="15" hidden="false" customHeight="false" outlineLevel="0" collapsed="false">
      <c r="A203" s="25" t="n">
        <v>199</v>
      </c>
      <c r="B203" s="25" t="s">
        <v>326</v>
      </c>
      <c r="C203" s="25" t="s">
        <v>38</v>
      </c>
      <c r="D203" s="25" t="s">
        <v>46</v>
      </c>
      <c r="E203" s="25" t="n">
        <v>2021</v>
      </c>
      <c r="F203" s="26" t="n">
        <v>17872000</v>
      </c>
      <c r="G203" s="26" t="n">
        <v>47357000</v>
      </c>
      <c r="H203" s="27" t="n">
        <v>6.2</v>
      </c>
      <c r="I203" s="25" t="n">
        <v>142</v>
      </c>
      <c r="J203" s="25" t="s">
        <v>45</v>
      </c>
      <c r="K203" s="25" t="s">
        <v>125</v>
      </c>
      <c r="L203" s="25" t="s">
        <v>146</v>
      </c>
      <c r="M203" s="26" t="n">
        <v>29485000</v>
      </c>
      <c r="N203" s="28" t="n">
        <v>165</v>
      </c>
      <c r="O203" s="29" t="n">
        <f aca="false">G203+ROW()/10000000</f>
        <v>47357000.0000203</v>
      </c>
    </row>
    <row r="204" customFormat="false" ht="15" hidden="false" customHeight="false" outlineLevel="0" collapsed="false">
      <c r="A204" s="25" t="n">
        <v>200</v>
      </c>
      <c r="B204" s="25" t="s">
        <v>327</v>
      </c>
      <c r="C204" s="25" t="s">
        <v>44</v>
      </c>
      <c r="D204" s="25" t="s">
        <v>52</v>
      </c>
      <c r="E204" s="25" t="n">
        <v>2021</v>
      </c>
      <c r="F204" s="26" t="n">
        <v>18132000</v>
      </c>
      <c r="G204" s="26" t="n">
        <v>54902000</v>
      </c>
      <c r="H204" s="27" t="n">
        <v>6.8</v>
      </c>
      <c r="I204" s="25" t="n">
        <v>118</v>
      </c>
      <c r="J204" s="25" t="s">
        <v>27</v>
      </c>
      <c r="K204" s="25" t="s">
        <v>121</v>
      </c>
      <c r="L204" s="25" t="s">
        <v>114</v>
      </c>
      <c r="M204" s="26" t="n">
        <v>36770000</v>
      </c>
      <c r="N204" s="28" t="n">
        <v>202.8</v>
      </c>
      <c r="O204" s="29" t="n">
        <f aca="false">G204+ROW()/10000000</f>
        <v>54902000.0000204</v>
      </c>
    </row>
    <row r="205" customFormat="false" ht="15" hidden="false" customHeight="false" outlineLevel="0" collapsed="false">
      <c r="A205" s="25" t="n">
        <v>201</v>
      </c>
      <c r="B205" s="25" t="s">
        <v>328</v>
      </c>
      <c r="C205" s="25" t="s">
        <v>38</v>
      </c>
      <c r="D205" s="25" t="s">
        <v>55</v>
      </c>
      <c r="E205" s="25" t="n">
        <v>2021</v>
      </c>
      <c r="F205" s="26" t="n">
        <v>22306000</v>
      </c>
      <c r="G205" s="26" t="n">
        <v>90661000</v>
      </c>
      <c r="H205" s="27" t="n">
        <v>8.2</v>
      </c>
      <c r="I205" s="25" t="n">
        <v>113</v>
      </c>
      <c r="J205" s="25" t="s">
        <v>45</v>
      </c>
      <c r="K205" s="25" t="s">
        <v>148</v>
      </c>
      <c r="L205" s="25" t="s">
        <v>131</v>
      </c>
      <c r="M205" s="26" t="n">
        <v>68355000</v>
      </c>
      <c r="N205" s="28" t="n">
        <v>306.4</v>
      </c>
      <c r="O205" s="29" t="n">
        <f aca="false">G205+ROW()/10000000</f>
        <v>90661000.0000205</v>
      </c>
    </row>
    <row r="206" customFormat="false" ht="15" hidden="false" customHeight="false" outlineLevel="0" collapsed="false">
      <c r="A206" s="25" t="n">
        <v>202</v>
      </c>
      <c r="B206" s="25" t="s">
        <v>329</v>
      </c>
      <c r="C206" s="25" t="s">
        <v>23</v>
      </c>
      <c r="D206" s="25" t="s">
        <v>67</v>
      </c>
      <c r="E206" s="25" t="n">
        <v>2021</v>
      </c>
      <c r="F206" s="26" t="n">
        <v>82753000</v>
      </c>
      <c r="G206" s="26" t="n">
        <v>87195000</v>
      </c>
      <c r="H206" s="27" t="n">
        <v>5.8</v>
      </c>
      <c r="I206" s="25" t="n">
        <v>112</v>
      </c>
      <c r="J206" s="25" t="s">
        <v>21</v>
      </c>
      <c r="K206" s="25" t="s">
        <v>139</v>
      </c>
      <c r="L206" s="25" t="s">
        <v>131</v>
      </c>
      <c r="M206" s="26" t="n">
        <v>4442000</v>
      </c>
      <c r="N206" s="28" t="n">
        <v>5.4</v>
      </c>
      <c r="O206" s="29" t="n">
        <f aca="false">G206+ROW()/10000000</f>
        <v>87195000.0000206</v>
      </c>
    </row>
    <row r="207" customFormat="false" ht="15" hidden="false" customHeight="false" outlineLevel="0" collapsed="false">
      <c r="A207" s="25" t="n">
        <v>203</v>
      </c>
      <c r="B207" s="25" t="s">
        <v>330</v>
      </c>
      <c r="C207" s="25" t="s">
        <v>35</v>
      </c>
      <c r="D207" s="25" t="s">
        <v>54</v>
      </c>
      <c r="E207" s="25" t="n">
        <v>2021</v>
      </c>
      <c r="F207" s="26" t="n">
        <v>4025000</v>
      </c>
      <c r="G207" s="26" t="n">
        <v>7313000</v>
      </c>
      <c r="H207" s="27" t="n">
        <v>6.9</v>
      </c>
      <c r="I207" s="25" t="n">
        <v>103</v>
      </c>
      <c r="J207" s="25" t="s">
        <v>39</v>
      </c>
      <c r="K207" s="25" t="s">
        <v>152</v>
      </c>
      <c r="L207" s="25" t="s">
        <v>131</v>
      </c>
      <c r="M207" s="26" t="n">
        <v>3288000</v>
      </c>
      <c r="N207" s="28" t="n">
        <v>81.7</v>
      </c>
      <c r="O207" s="29" t="n">
        <f aca="false">G207+ROW()/10000000</f>
        <v>7313000.0000207</v>
      </c>
    </row>
    <row r="208" customFormat="false" ht="15" hidden="false" customHeight="false" outlineLevel="0" collapsed="false">
      <c r="A208" s="25" t="n">
        <v>204</v>
      </c>
      <c r="B208" s="25" t="s">
        <v>331</v>
      </c>
      <c r="C208" s="25" t="s">
        <v>35</v>
      </c>
      <c r="D208" s="25" t="s">
        <v>37</v>
      </c>
      <c r="E208" s="25" t="n">
        <v>2021</v>
      </c>
      <c r="F208" s="26" t="n">
        <v>5091000</v>
      </c>
      <c r="G208" s="26" t="n">
        <v>7936000</v>
      </c>
      <c r="H208" s="27" t="n">
        <v>8.9</v>
      </c>
      <c r="I208" s="25" t="n">
        <v>124</v>
      </c>
      <c r="J208" s="25" t="s">
        <v>24</v>
      </c>
      <c r="K208" s="25" t="s">
        <v>144</v>
      </c>
      <c r="L208" s="25" t="s">
        <v>131</v>
      </c>
      <c r="M208" s="26" t="n">
        <v>2845000</v>
      </c>
      <c r="N208" s="28" t="n">
        <v>55.9</v>
      </c>
      <c r="O208" s="29" t="n">
        <f aca="false">G208+ROW()/10000000</f>
        <v>7936000.0000208</v>
      </c>
    </row>
    <row r="209" customFormat="false" ht="15" hidden="false" customHeight="false" outlineLevel="0" collapsed="false">
      <c r="A209" s="25" t="n">
        <v>205</v>
      </c>
      <c r="B209" s="25" t="s">
        <v>332</v>
      </c>
      <c r="C209" s="25" t="s">
        <v>32</v>
      </c>
      <c r="D209" s="25" t="s">
        <v>76</v>
      </c>
      <c r="E209" s="25" t="n">
        <v>2022</v>
      </c>
      <c r="F209" s="26" t="n">
        <v>28427000</v>
      </c>
      <c r="G209" s="26" t="n">
        <v>102222000</v>
      </c>
      <c r="H209" s="27" t="n">
        <v>6</v>
      </c>
      <c r="I209" s="25" t="n">
        <v>102</v>
      </c>
      <c r="J209" s="25" t="s">
        <v>33</v>
      </c>
      <c r="K209" s="25" t="s">
        <v>103</v>
      </c>
      <c r="L209" s="25" t="s">
        <v>107</v>
      </c>
      <c r="M209" s="26" t="n">
        <v>73795000</v>
      </c>
      <c r="N209" s="28" t="n">
        <v>259.6</v>
      </c>
      <c r="O209" s="29" t="n">
        <f aca="false">G209+ROW()/10000000</f>
        <v>102222000.000021</v>
      </c>
    </row>
    <row r="210" customFormat="false" ht="15" hidden="false" customHeight="false" outlineLevel="0" collapsed="false">
      <c r="A210" s="25" t="n">
        <v>206</v>
      </c>
      <c r="B210" s="25" t="s">
        <v>333</v>
      </c>
      <c r="C210" s="25" t="s">
        <v>29</v>
      </c>
      <c r="D210" s="25" t="s">
        <v>25</v>
      </c>
      <c r="E210" s="25" t="n">
        <v>2022</v>
      </c>
      <c r="F210" s="26" t="n">
        <v>30955000</v>
      </c>
      <c r="G210" s="26" t="n">
        <v>94055000</v>
      </c>
      <c r="H210" s="27" t="n">
        <v>5.5</v>
      </c>
      <c r="I210" s="25" t="n">
        <v>164</v>
      </c>
      <c r="J210" s="25" t="s">
        <v>45</v>
      </c>
      <c r="K210" s="25" t="s">
        <v>111</v>
      </c>
      <c r="L210" s="25" t="s">
        <v>119</v>
      </c>
      <c r="M210" s="26" t="n">
        <v>63100000</v>
      </c>
      <c r="N210" s="28" t="n">
        <v>203.8</v>
      </c>
      <c r="O210" s="29" t="n">
        <f aca="false">G210+ROW()/10000000</f>
        <v>94055000.000021</v>
      </c>
    </row>
    <row r="211" customFormat="false" ht="15" hidden="false" customHeight="false" outlineLevel="0" collapsed="false">
      <c r="A211" s="25" t="n">
        <v>207</v>
      </c>
      <c r="B211" s="25" t="s">
        <v>334</v>
      </c>
      <c r="C211" s="25" t="s">
        <v>53</v>
      </c>
      <c r="D211" s="25" t="s">
        <v>25</v>
      </c>
      <c r="E211" s="25" t="n">
        <v>2022</v>
      </c>
      <c r="F211" s="26" t="n">
        <v>33277000</v>
      </c>
      <c r="G211" s="26" t="n">
        <v>223629000</v>
      </c>
      <c r="H211" s="27" t="n">
        <v>8.2</v>
      </c>
      <c r="I211" s="25" t="n">
        <v>101</v>
      </c>
      <c r="J211" s="25" t="s">
        <v>42</v>
      </c>
      <c r="K211" s="25" t="s">
        <v>113</v>
      </c>
      <c r="L211" s="25" t="s">
        <v>141</v>
      </c>
      <c r="M211" s="26" t="n">
        <v>190352000</v>
      </c>
      <c r="N211" s="28" t="n">
        <v>572</v>
      </c>
      <c r="O211" s="29" t="n">
        <f aca="false">G211+ROW()/10000000</f>
        <v>223629000.000021</v>
      </c>
    </row>
    <row r="212" customFormat="false" ht="15" hidden="false" customHeight="false" outlineLevel="0" collapsed="false">
      <c r="A212" s="25" t="n">
        <v>208</v>
      </c>
      <c r="B212" s="25" t="s">
        <v>335</v>
      </c>
      <c r="C212" s="25" t="s">
        <v>47</v>
      </c>
      <c r="D212" s="25" t="s">
        <v>76</v>
      </c>
      <c r="E212" s="25" t="n">
        <v>2022</v>
      </c>
      <c r="F212" s="26" t="n">
        <v>27409000</v>
      </c>
      <c r="G212" s="26" t="n">
        <v>43811500</v>
      </c>
      <c r="H212" s="27" t="n">
        <v>5</v>
      </c>
      <c r="I212" s="25" t="n">
        <v>123</v>
      </c>
      <c r="J212" s="25" t="s">
        <v>42</v>
      </c>
      <c r="K212" s="25" t="s">
        <v>148</v>
      </c>
      <c r="L212" s="25" t="s">
        <v>184</v>
      </c>
      <c r="M212" s="26" t="n">
        <v>16402500</v>
      </c>
      <c r="N212" s="28" t="n">
        <v>59.8</v>
      </c>
      <c r="O212" s="29" t="n">
        <f aca="false">G212+ROW()/10000000</f>
        <v>43811500.0000212</v>
      </c>
    </row>
    <row r="213" customFormat="false" ht="15" hidden="false" customHeight="false" outlineLevel="0" collapsed="false">
      <c r="A213" s="25" t="n">
        <v>209</v>
      </c>
      <c r="B213" s="25" t="s">
        <v>336</v>
      </c>
      <c r="C213" s="25" t="s">
        <v>32</v>
      </c>
      <c r="D213" s="25" t="s">
        <v>46</v>
      </c>
      <c r="E213" s="25" t="n">
        <v>2022</v>
      </c>
      <c r="F213" s="26" t="n">
        <v>56716000</v>
      </c>
      <c r="G213" s="26" t="n">
        <v>151265000</v>
      </c>
      <c r="H213" s="27" t="n">
        <v>7.8</v>
      </c>
      <c r="I213" s="25" t="n">
        <v>113</v>
      </c>
      <c r="J213" s="25" t="s">
        <v>42</v>
      </c>
      <c r="K213" s="25" t="s">
        <v>154</v>
      </c>
      <c r="L213" s="25" t="s">
        <v>128</v>
      </c>
      <c r="M213" s="26" t="n">
        <v>94549000</v>
      </c>
      <c r="N213" s="28" t="n">
        <v>166.7</v>
      </c>
      <c r="O213" s="29" t="n">
        <f aca="false">G213+ROW()/10000000</f>
        <v>151265000.000021</v>
      </c>
    </row>
    <row r="214" customFormat="false" ht="15" hidden="false" customHeight="false" outlineLevel="0" collapsed="false">
      <c r="A214" s="25" t="n">
        <v>210</v>
      </c>
      <c r="B214" s="25" t="s">
        <v>337</v>
      </c>
      <c r="C214" s="25" t="s">
        <v>26</v>
      </c>
      <c r="D214" s="25" t="s">
        <v>25</v>
      </c>
      <c r="E214" s="25" t="n">
        <v>2022</v>
      </c>
      <c r="F214" s="26" t="n">
        <v>59592000</v>
      </c>
      <c r="G214" s="26" t="n">
        <v>101072000</v>
      </c>
      <c r="H214" s="27" t="n">
        <v>5.8</v>
      </c>
      <c r="I214" s="25" t="n">
        <v>100</v>
      </c>
      <c r="J214" s="25" t="s">
        <v>42</v>
      </c>
      <c r="K214" s="25" t="s">
        <v>170</v>
      </c>
      <c r="L214" s="25" t="s">
        <v>128</v>
      </c>
      <c r="M214" s="26" t="n">
        <v>41480000</v>
      </c>
      <c r="N214" s="28" t="n">
        <v>69.6</v>
      </c>
      <c r="O214" s="29" t="n">
        <f aca="false">G214+ROW()/10000000</f>
        <v>101072000.000021</v>
      </c>
    </row>
    <row r="215" customFormat="false" ht="15" hidden="false" customHeight="false" outlineLevel="0" collapsed="false">
      <c r="A215" s="25" t="n">
        <v>211</v>
      </c>
      <c r="B215" s="25" t="s">
        <v>338</v>
      </c>
      <c r="C215" s="25" t="s">
        <v>44</v>
      </c>
      <c r="D215" s="25" t="s">
        <v>43</v>
      </c>
      <c r="E215" s="25" t="n">
        <v>2022</v>
      </c>
      <c r="F215" s="26" t="n">
        <v>16962000</v>
      </c>
      <c r="G215" s="26" t="n">
        <v>35787000</v>
      </c>
      <c r="H215" s="27" t="n">
        <v>7.4</v>
      </c>
      <c r="I215" s="25" t="n">
        <v>75</v>
      </c>
      <c r="J215" s="25" t="s">
        <v>27</v>
      </c>
      <c r="K215" s="25" t="s">
        <v>113</v>
      </c>
      <c r="L215" s="25" t="s">
        <v>114</v>
      </c>
      <c r="M215" s="26" t="n">
        <v>18825000</v>
      </c>
      <c r="N215" s="28" t="n">
        <v>111</v>
      </c>
      <c r="O215" s="29" t="n">
        <f aca="false">G215+ROW()/10000000</f>
        <v>35787000.0000215</v>
      </c>
    </row>
    <row r="216" customFormat="false" ht="15" hidden="false" customHeight="false" outlineLevel="0" collapsed="false">
      <c r="A216" s="25" t="n">
        <v>212</v>
      </c>
      <c r="B216" s="25" t="s">
        <v>339</v>
      </c>
      <c r="C216" s="25" t="s">
        <v>53</v>
      </c>
      <c r="D216" s="25" t="s">
        <v>61</v>
      </c>
      <c r="E216" s="25" t="n">
        <v>2023</v>
      </c>
      <c r="F216" s="26" t="n">
        <v>43425000</v>
      </c>
      <c r="G216" s="26" t="n">
        <v>44658000</v>
      </c>
      <c r="H216" s="27" t="n">
        <v>6.7</v>
      </c>
      <c r="I216" s="25" t="n">
        <v>119</v>
      </c>
      <c r="J216" s="25" t="s">
        <v>24</v>
      </c>
      <c r="K216" s="25" t="s">
        <v>181</v>
      </c>
      <c r="L216" s="25" t="s">
        <v>114</v>
      </c>
      <c r="M216" s="26" t="n">
        <v>1233000</v>
      </c>
      <c r="N216" s="28" t="n">
        <v>2.8</v>
      </c>
      <c r="O216" s="29" t="n">
        <f aca="false">G216+ROW()/10000000</f>
        <v>44658000.0000216</v>
      </c>
    </row>
    <row r="217" customFormat="false" ht="15" hidden="false" customHeight="false" outlineLevel="0" collapsed="false">
      <c r="A217" s="25" t="n">
        <v>213</v>
      </c>
      <c r="B217" s="25" t="s">
        <v>340</v>
      </c>
      <c r="C217" s="25" t="s">
        <v>26</v>
      </c>
      <c r="D217" s="25" t="s">
        <v>60</v>
      </c>
      <c r="E217" s="25" t="n">
        <v>2023</v>
      </c>
      <c r="F217" s="26" t="n">
        <v>82476000</v>
      </c>
      <c r="G217" s="26" t="n">
        <v>111008000</v>
      </c>
      <c r="H217" s="27" t="n">
        <v>8.2</v>
      </c>
      <c r="I217" s="25" t="n">
        <v>122</v>
      </c>
      <c r="J217" s="25" t="s">
        <v>24</v>
      </c>
      <c r="K217" s="25" t="s">
        <v>181</v>
      </c>
      <c r="L217" s="25" t="s">
        <v>107</v>
      </c>
      <c r="M217" s="26" t="n">
        <v>28532000</v>
      </c>
      <c r="N217" s="28" t="n">
        <v>34.6</v>
      </c>
      <c r="O217" s="29" t="n">
        <f aca="false">G217+ROW()/10000000</f>
        <v>111008000.000022</v>
      </c>
    </row>
    <row r="218" customFormat="false" ht="15" hidden="false" customHeight="false" outlineLevel="0" collapsed="false">
      <c r="A218" s="25" t="n">
        <v>214</v>
      </c>
      <c r="B218" s="25" t="s">
        <v>341</v>
      </c>
      <c r="C218" s="25" t="s">
        <v>20</v>
      </c>
      <c r="D218" s="25" t="s">
        <v>25</v>
      </c>
      <c r="E218" s="25" t="n">
        <v>2023</v>
      </c>
      <c r="F218" s="26" t="n">
        <v>58181000</v>
      </c>
      <c r="G218" s="26" t="n">
        <v>159360000</v>
      </c>
      <c r="H218" s="27" t="n">
        <v>6.6</v>
      </c>
      <c r="I218" s="25" t="n">
        <v>89</v>
      </c>
      <c r="J218" s="25" t="s">
        <v>27</v>
      </c>
      <c r="K218" s="25" t="s">
        <v>111</v>
      </c>
      <c r="L218" s="25" t="s">
        <v>119</v>
      </c>
      <c r="M218" s="26" t="n">
        <v>101179000</v>
      </c>
      <c r="N218" s="28" t="n">
        <v>173.9</v>
      </c>
      <c r="O218" s="29" t="n">
        <f aca="false">G218+ROW()/10000000</f>
        <v>159360000.000022</v>
      </c>
    </row>
    <row r="219" customFormat="false" ht="15" hidden="false" customHeight="false" outlineLevel="0" collapsed="false">
      <c r="A219" s="25" t="n">
        <v>215</v>
      </c>
      <c r="B219" s="25" t="s">
        <v>342</v>
      </c>
      <c r="C219" s="25" t="s">
        <v>32</v>
      </c>
      <c r="D219" s="25" t="s">
        <v>59</v>
      </c>
      <c r="E219" s="25" t="n">
        <v>2023</v>
      </c>
      <c r="F219" s="26" t="n">
        <v>40063000</v>
      </c>
      <c r="G219" s="26" t="n">
        <v>62732000</v>
      </c>
      <c r="H219" s="27" t="n">
        <v>6.9</v>
      </c>
      <c r="I219" s="25" t="n">
        <v>142</v>
      </c>
      <c r="J219" s="25" t="s">
        <v>39</v>
      </c>
      <c r="K219" s="25" t="s">
        <v>170</v>
      </c>
      <c r="L219" s="25" t="s">
        <v>184</v>
      </c>
      <c r="M219" s="26" t="n">
        <v>22669000</v>
      </c>
      <c r="N219" s="28" t="n">
        <v>56.6</v>
      </c>
      <c r="O219" s="29" t="n">
        <f aca="false">G219+ROW()/10000000</f>
        <v>62732000.0000219</v>
      </c>
    </row>
    <row r="220" customFormat="false" ht="15" hidden="false" customHeight="false" outlineLevel="0" collapsed="false">
      <c r="A220" s="25" t="n">
        <v>216</v>
      </c>
      <c r="B220" s="25" t="s">
        <v>343</v>
      </c>
      <c r="C220" s="25" t="s">
        <v>29</v>
      </c>
      <c r="D220" s="25" t="s">
        <v>31</v>
      </c>
      <c r="E220" s="25" t="n">
        <v>2023</v>
      </c>
      <c r="F220" s="26" t="n">
        <v>32132000</v>
      </c>
      <c r="G220" s="26" t="n">
        <v>31035000</v>
      </c>
      <c r="H220" s="27" t="n">
        <v>6.9</v>
      </c>
      <c r="I220" s="25" t="n">
        <v>124</v>
      </c>
      <c r="J220" s="25" t="s">
        <v>45</v>
      </c>
      <c r="K220" s="25" t="s">
        <v>152</v>
      </c>
      <c r="L220" s="25" t="s">
        <v>184</v>
      </c>
      <c r="M220" s="26" t="n">
        <v>-1097000</v>
      </c>
      <c r="N220" s="28" t="n">
        <v>-3.4</v>
      </c>
      <c r="O220" s="29" t="n">
        <f aca="false">G220+ROW()/10000000</f>
        <v>31035000.000022</v>
      </c>
    </row>
    <row r="221" customFormat="false" ht="15" hidden="false" customHeight="false" outlineLevel="0" collapsed="false">
      <c r="A221" s="25" t="n">
        <v>217</v>
      </c>
      <c r="B221" s="25" t="s">
        <v>344</v>
      </c>
      <c r="C221" s="25" t="s">
        <v>29</v>
      </c>
      <c r="D221" s="25" t="s">
        <v>76</v>
      </c>
      <c r="E221" s="25" t="n">
        <v>2024</v>
      </c>
      <c r="F221" s="26" t="n">
        <v>41405000</v>
      </c>
      <c r="G221" s="26" t="n">
        <v>68004000</v>
      </c>
      <c r="H221" s="27" t="n">
        <v>5.5</v>
      </c>
      <c r="I221" s="25" t="n">
        <v>121</v>
      </c>
      <c r="J221" s="25" t="s">
        <v>42</v>
      </c>
      <c r="K221" s="25" t="s">
        <v>181</v>
      </c>
      <c r="L221" s="25" t="s">
        <v>128</v>
      </c>
      <c r="M221" s="26" t="n">
        <v>26599000</v>
      </c>
      <c r="N221" s="28" t="n">
        <v>64.2</v>
      </c>
      <c r="O221" s="29" t="n">
        <f aca="false">G221+ROW()/10000000</f>
        <v>68004000.0000221</v>
      </c>
    </row>
    <row r="222" customFormat="false" ht="15" hidden="false" customHeight="false" outlineLevel="0" collapsed="false">
      <c r="A222" s="25" t="n">
        <v>218</v>
      </c>
      <c r="B222" s="25" t="s">
        <v>345</v>
      </c>
      <c r="C222" s="25" t="s">
        <v>35</v>
      </c>
      <c r="D222" s="25" t="s">
        <v>65</v>
      </c>
      <c r="E222" s="25" t="n">
        <v>2024</v>
      </c>
      <c r="F222" s="26" t="n">
        <v>6877000</v>
      </c>
      <c r="G222" s="26" t="n">
        <v>11786000</v>
      </c>
      <c r="H222" s="27" t="n">
        <v>6.6</v>
      </c>
      <c r="I222" s="25" t="n">
        <v>102</v>
      </c>
      <c r="J222" s="25" t="s">
        <v>45</v>
      </c>
      <c r="K222" s="25" t="s">
        <v>170</v>
      </c>
      <c r="L222" s="25" t="s">
        <v>122</v>
      </c>
      <c r="M222" s="26" t="n">
        <v>4909000</v>
      </c>
      <c r="N222" s="28" t="n">
        <v>71.4</v>
      </c>
      <c r="O222" s="29" t="n">
        <f aca="false">G222+ROW()/10000000</f>
        <v>11786000.0000222</v>
      </c>
    </row>
    <row r="223" customFormat="false" ht="15" hidden="false" customHeight="false" outlineLevel="0" collapsed="false">
      <c r="A223" s="25" t="n">
        <v>219</v>
      </c>
      <c r="B223" s="25" t="s">
        <v>346</v>
      </c>
      <c r="C223" s="25" t="s">
        <v>35</v>
      </c>
      <c r="D223" s="25" t="s">
        <v>76</v>
      </c>
      <c r="E223" s="25" t="n">
        <v>2024</v>
      </c>
      <c r="F223" s="26" t="n">
        <v>5219000</v>
      </c>
      <c r="G223" s="26" t="n">
        <v>21334000</v>
      </c>
      <c r="H223" s="27" t="n">
        <v>5.8</v>
      </c>
      <c r="I223" s="25" t="n">
        <v>116</v>
      </c>
      <c r="J223" s="25" t="s">
        <v>33</v>
      </c>
      <c r="K223" s="25" t="s">
        <v>181</v>
      </c>
      <c r="L223" s="25" t="s">
        <v>122</v>
      </c>
      <c r="M223" s="26" t="n">
        <v>16115000</v>
      </c>
      <c r="N223" s="28" t="n">
        <v>308.8</v>
      </c>
      <c r="O223" s="29" t="n">
        <f aca="false">G223+ROW()/10000000</f>
        <v>21334000.0000223</v>
      </c>
    </row>
    <row r="224" customFormat="false" ht="15" hidden="false" customHeight="false" outlineLevel="0" collapsed="false">
      <c r="A224" s="25" t="n">
        <v>220</v>
      </c>
      <c r="B224" s="25" t="s">
        <v>347</v>
      </c>
      <c r="C224" s="25" t="s">
        <v>53</v>
      </c>
      <c r="D224" s="25" t="s">
        <v>65</v>
      </c>
      <c r="E224" s="25" t="n">
        <v>2024</v>
      </c>
      <c r="F224" s="26" t="n">
        <v>29590000</v>
      </c>
      <c r="G224" s="26" t="n">
        <v>51751000</v>
      </c>
      <c r="H224" s="27" t="n">
        <v>5.8</v>
      </c>
      <c r="I224" s="25" t="n">
        <v>94</v>
      </c>
      <c r="J224" s="25" t="s">
        <v>48</v>
      </c>
      <c r="K224" s="25" t="s">
        <v>118</v>
      </c>
      <c r="L224" s="25" t="s">
        <v>146</v>
      </c>
      <c r="M224" s="26" t="n">
        <v>22161000</v>
      </c>
      <c r="N224" s="28" t="n">
        <v>74.9</v>
      </c>
      <c r="O224" s="29" t="n">
        <f aca="false">G224+ROW()/10000000</f>
        <v>51751000.0000224</v>
      </c>
    </row>
    <row r="225" customFormat="false" ht="15" hidden="false" customHeight="false" outlineLevel="0" collapsed="false">
      <c r="A225" s="25" t="n">
        <v>221</v>
      </c>
      <c r="B225" s="25" t="s">
        <v>348</v>
      </c>
      <c r="C225" s="25" t="s">
        <v>20</v>
      </c>
      <c r="D225" s="25" t="s">
        <v>59</v>
      </c>
      <c r="E225" s="25" t="n">
        <v>2024</v>
      </c>
      <c r="F225" s="26" t="n">
        <v>135609000</v>
      </c>
      <c r="G225" s="26" t="n">
        <v>203244000</v>
      </c>
      <c r="H225" s="27" t="n">
        <v>7</v>
      </c>
      <c r="I225" s="25" t="n">
        <v>127</v>
      </c>
      <c r="J225" s="25" t="s">
        <v>48</v>
      </c>
      <c r="K225" s="25" t="s">
        <v>152</v>
      </c>
      <c r="L225" s="25" t="s">
        <v>119</v>
      </c>
      <c r="M225" s="26" t="n">
        <v>67635000</v>
      </c>
      <c r="N225" s="28" t="n">
        <v>49.9</v>
      </c>
      <c r="O225" s="29" t="n">
        <f aca="false">G225+ROW()/10000000</f>
        <v>203244000.000023</v>
      </c>
    </row>
    <row r="226" customFormat="false" ht="15" hidden="false" customHeight="false" outlineLevel="0" collapsed="false">
      <c r="A226" s="25" t="n">
        <v>222</v>
      </c>
      <c r="B226" s="25" t="s">
        <v>349</v>
      </c>
      <c r="C226" s="25" t="s">
        <v>47</v>
      </c>
      <c r="D226" s="25" t="s">
        <v>64</v>
      </c>
      <c r="E226" s="25" t="n">
        <v>2024</v>
      </c>
      <c r="F226" s="26" t="n">
        <v>25908000</v>
      </c>
      <c r="G226" s="26" t="n">
        <v>71844000</v>
      </c>
      <c r="H226" s="27" t="n">
        <v>6.4</v>
      </c>
      <c r="I226" s="25" t="n">
        <v>105</v>
      </c>
      <c r="J226" s="25" t="s">
        <v>21</v>
      </c>
      <c r="K226" s="25" t="s">
        <v>181</v>
      </c>
      <c r="L226" s="25" t="s">
        <v>114</v>
      </c>
      <c r="M226" s="26" t="n">
        <v>45936000</v>
      </c>
      <c r="N226" s="28" t="n">
        <v>177.3</v>
      </c>
      <c r="O226" s="29" t="n">
        <f aca="false">G226+ROW()/10000000</f>
        <v>71844000.0000226</v>
      </c>
    </row>
  </sheetData>
  <mergeCells count="2">
    <mergeCell ref="A1:N1"/>
    <mergeCell ref="A2:N2"/>
  </mergeCells>
  <conditionalFormatting sqref="H5:H226">
    <cfRule type="colorScale" priority="2">
      <colorScale>
        <cfvo type="min" val="0"/>
        <cfvo type="percentile" val="50"/>
        <cfvo type="max" val="0"/>
        <color rgb="FFE63946"/>
        <color rgb="FFF5C518"/>
        <color rgb="FF2A9D8F"/>
      </colorScale>
    </cfRule>
  </conditionalFormatting>
  <conditionalFormatting sqref="G5:G226">
    <cfRule type="dataBar" priority="3">
      <dataBar showValue="1" minLength="10" maxLength="90">
        <cfvo type="min" val="0"/>
        <cfvo type="max" val="0"/>
        <color rgb="FFF5C518"/>
      </dataBar>
      <extLst>
        <ext xmlns:x14="http://schemas.microsoft.com/office/spreadsheetml/2009/9/main" uri="{B025F937-C7B1-47D3-B67F-A62EFF666E3E}">
          <x14:id>{C143857A-4DFB-448B-AA42-EA68B0B8C03B}</x14:id>
        </ext>
      </extLst>
    </cfRule>
  </conditionalFormatting>
  <conditionalFormatting sqref="F5:F226">
    <cfRule type="dataBar" priority="4">
      <dataBar showValue="1" minLength="10" maxLength="90">
        <cfvo type="min" val="0"/>
        <cfvo type="max" val="0"/>
        <color rgb="FF4C6EF5"/>
      </dataBar>
      <extLst>
        <ext xmlns:x14="http://schemas.microsoft.com/office/spreadsheetml/2009/9/main" uri="{B025F937-C7B1-47D3-B67F-A62EFF666E3E}">
          <x14:id>{4583E38E-77E4-4EF3-8068-B0E3E59E4110}</x14:id>
        </ext>
      </extLst>
    </cfRule>
  </conditionalFormatting>
  <conditionalFormatting sqref="M5:M226">
    <cfRule type="expression" priority="5" aboveAverage="0" equalAverage="0" bottom="0" percent="0" rank="0" text="" dxfId="54">
      <formula>M5&lt;0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C143857A-4DFB-448B-AA42-EA68B0B8C03B}">
            <x14:dataBar minLength="10" maxLength="90" axisPosition="none" gradient="true">
              <x14:cfvo type="min"/>
              <x14:cfvo type="max"/>
              <x14:negativeFillColor rgb="FFF5C518"/>
              <x14:axisColor rgb="FF000000"/>
            </x14:dataBar>
          </x14:cfRule>
          <xm:sqref>G5:G226</xm:sqref>
        </x14:conditionalFormatting>
        <x14:conditionalFormatting xmlns:xm="http://schemas.microsoft.com/office/excel/2006/main">
          <x14:cfRule type="dataBar" id="{4583E38E-77E4-4EF3-8068-B0E3E59E4110}">
            <x14:dataBar minLength="10" maxLength="90" axisPosition="none" gradient="true">
              <x14:cfvo type="min"/>
              <x14:cfvo type="max"/>
              <x14:negativeFillColor rgb="FF4C6EF5"/>
              <x14:axisColor rgb="FF000000"/>
            </x14:dataBar>
          </x14:cfRule>
          <xm:sqref>F5:F226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A8FA3"/>
    <pageSetUpPr fitToPage="false"/>
  </sheetPr>
  <dimension ref="A1:K2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3" min="2" style="1" width="14"/>
    <col collapsed="false" customWidth="true" hidden="false" outlineLevel="0" max="4" min="4" style="1" width="16"/>
    <col collapsed="false" customWidth="true" hidden="false" outlineLevel="0" max="6" min="5" style="1" width="14"/>
    <col collapsed="false" customWidth="true" hidden="false" outlineLevel="0" max="7" min="7" style="1" width="15"/>
    <col collapsed="false" customWidth="true" hidden="false" outlineLevel="0" max="9" min="8" style="1" width="14"/>
    <col collapsed="false" customWidth="true" hidden="false" outlineLevel="0" max="10" min="10" style="1" width="22"/>
    <col collapsed="false" customWidth="true" hidden="false" outlineLevel="0" max="11" min="11" style="1" width="14"/>
  </cols>
  <sheetData>
    <row r="1" customFormat="false" ht="16.15" hidden="false" customHeight="false" outlineLevel="0" collapsed="false">
      <c r="A1" s="21" t="s">
        <v>350</v>
      </c>
      <c r="B1" s="21"/>
      <c r="C1" s="21"/>
      <c r="D1" s="21"/>
      <c r="E1" s="21"/>
      <c r="F1" s="21"/>
      <c r="G1" s="21"/>
      <c r="H1" s="21"/>
      <c r="I1" s="21"/>
      <c r="J1" s="21"/>
      <c r="K1" s="21"/>
    </row>
    <row r="2" customFormat="false" ht="15" hidden="false" customHeight="false" outlineLevel="0" collapsed="false">
      <c r="A2" s="22" t="s">
        <v>351</v>
      </c>
      <c r="B2" s="22"/>
      <c r="C2" s="22"/>
      <c r="D2" s="22"/>
      <c r="E2" s="22"/>
      <c r="F2" s="22"/>
      <c r="G2" s="22"/>
      <c r="H2" s="22"/>
      <c r="I2" s="22"/>
      <c r="J2" s="22"/>
      <c r="K2" s="22"/>
    </row>
    <row r="4" customFormat="false" ht="15" hidden="false" customHeight="false" outlineLevel="0" collapsed="false">
      <c r="A4" s="30" t="s">
        <v>74</v>
      </c>
      <c r="B4" s="30" t="s">
        <v>15</v>
      </c>
      <c r="C4" s="30" t="s">
        <v>18</v>
      </c>
      <c r="D4" s="30" t="s">
        <v>11</v>
      </c>
      <c r="E4" s="30" t="s">
        <v>94</v>
      </c>
      <c r="F4" s="30" t="s">
        <v>75</v>
      </c>
      <c r="G4" s="30" t="s">
        <v>95</v>
      </c>
      <c r="H4" s="30" t="s">
        <v>96</v>
      </c>
      <c r="I4" s="30" t="s">
        <v>17</v>
      </c>
      <c r="J4" s="30" t="s">
        <v>97</v>
      </c>
      <c r="K4" s="30" t="s">
        <v>98</v>
      </c>
    </row>
    <row r="5" customFormat="false" ht="15" hidden="false" customHeight="false" outlineLevel="0" collapsed="false">
      <c r="A5" s="31" t="s">
        <v>329</v>
      </c>
      <c r="B5" s="31" t="s">
        <v>23</v>
      </c>
      <c r="C5" s="31" t="s">
        <v>67</v>
      </c>
      <c r="D5" s="31" t="n">
        <v>2021</v>
      </c>
      <c r="E5" s="31" t="s">
        <v>352</v>
      </c>
      <c r="F5" s="31" t="s">
        <v>353</v>
      </c>
      <c r="G5" s="31" t="n">
        <v>5.8</v>
      </c>
      <c r="H5" s="31" t="n">
        <v>112</v>
      </c>
      <c r="I5" s="31" t="s">
        <v>21</v>
      </c>
      <c r="J5" s="31" t="s">
        <v>139</v>
      </c>
      <c r="K5" s="31" t="s">
        <v>131</v>
      </c>
    </row>
    <row r="6" customFormat="false" ht="15" hidden="false" customHeight="false" outlineLevel="0" collapsed="false">
      <c r="A6" s="31" t="s">
        <v>251</v>
      </c>
      <c r="B6" s="31" t="s">
        <v>35</v>
      </c>
      <c r="C6" s="31" t="s">
        <v>72</v>
      </c>
      <c r="D6" s="31" t="n">
        <v>2013</v>
      </c>
      <c r="E6" s="31" t="s">
        <v>354</v>
      </c>
      <c r="F6" s="31" t="s">
        <v>355</v>
      </c>
      <c r="G6" s="31" t="n">
        <v>5.4</v>
      </c>
      <c r="H6" s="31" t="n">
        <v>78</v>
      </c>
      <c r="I6" s="31" t="s">
        <v>21</v>
      </c>
      <c r="J6" s="31" t="s">
        <v>144</v>
      </c>
      <c r="K6" s="31" t="s">
        <v>109</v>
      </c>
    </row>
    <row r="7" customFormat="false" ht="15" hidden="false" customHeight="false" outlineLevel="0" collapsed="false">
      <c r="A7" s="31" t="s">
        <v>252</v>
      </c>
      <c r="B7" s="31" t="s">
        <v>47</v>
      </c>
      <c r="C7" s="31" t="s">
        <v>31</v>
      </c>
      <c r="D7" s="31" t="n">
        <v>2013</v>
      </c>
      <c r="E7" s="31" t="s">
        <v>356</v>
      </c>
      <c r="F7" s="32"/>
      <c r="G7" s="31" t="n">
        <v>6.8</v>
      </c>
      <c r="H7" s="31" t="n">
        <v>101</v>
      </c>
      <c r="I7" s="31" t="s">
        <v>27</v>
      </c>
      <c r="J7" s="31" t="s">
        <v>125</v>
      </c>
      <c r="K7" s="31" t="s">
        <v>128</v>
      </c>
    </row>
    <row r="8" customFormat="false" ht="15" hidden="false" customHeight="false" outlineLevel="0" collapsed="false">
      <c r="A8" s="31" t="s">
        <v>357</v>
      </c>
      <c r="B8" s="31" t="s">
        <v>35</v>
      </c>
      <c r="C8" s="31" t="s">
        <v>55</v>
      </c>
      <c r="D8" s="31" t="n">
        <v>2003</v>
      </c>
      <c r="E8" s="31" t="s">
        <v>358</v>
      </c>
      <c r="F8" s="31" t="s">
        <v>359</v>
      </c>
      <c r="G8" s="31" t="n">
        <v>7</v>
      </c>
      <c r="H8" s="31" t="n">
        <v>100</v>
      </c>
      <c r="I8" s="31" t="s">
        <v>39</v>
      </c>
      <c r="J8" s="31" t="s">
        <v>144</v>
      </c>
      <c r="K8" s="31" t="s">
        <v>136</v>
      </c>
    </row>
    <row r="9" customFormat="false" ht="15" hidden="false" customHeight="false" outlineLevel="0" collapsed="false">
      <c r="A9" s="31" t="s">
        <v>185</v>
      </c>
      <c r="B9" s="31" t="s">
        <v>20</v>
      </c>
      <c r="C9" s="31" t="s">
        <v>72</v>
      </c>
      <c r="D9" s="31" t="n">
        <v>2005</v>
      </c>
      <c r="E9" s="31" t="s">
        <v>360</v>
      </c>
      <c r="F9" s="31" t="s">
        <v>361</v>
      </c>
      <c r="G9" s="31" t="n">
        <v>4.6</v>
      </c>
      <c r="H9" s="31" t="n">
        <v>100</v>
      </c>
      <c r="I9" s="31" t="s">
        <v>30</v>
      </c>
      <c r="J9" s="31" t="s">
        <v>121</v>
      </c>
      <c r="K9" s="31" t="s">
        <v>141</v>
      </c>
    </row>
    <row r="10" customFormat="false" ht="15" hidden="false" customHeight="false" outlineLevel="0" collapsed="false">
      <c r="A10" s="31" t="s">
        <v>218</v>
      </c>
      <c r="B10" s="31" t="s">
        <v>41</v>
      </c>
      <c r="C10" s="31" t="s">
        <v>69</v>
      </c>
      <c r="D10" s="31" t="n">
        <v>2009</v>
      </c>
      <c r="E10" s="31" t="s">
        <v>362</v>
      </c>
      <c r="F10" s="31" t="s">
        <v>363</v>
      </c>
      <c r="G10" s="31" t="n">
        <v>5.9</v>
      </c>
      <c r="H10" s="31" t="n">
        <v>88</v>
      </c>
      <c r="I10" s="31" t="s">
        <v>42</v>
      </c>
      <c r="J10" s="31" t="s">
        <v>113</v>
      </c>
      <c r="K10" s="31" t="s">
        <v>122</v>
      </c>
    </row>
    <row r="11" customFormat="false" ht="15" hidden="false" customHeight="false" outlineLevel="0" collapsed="false">
      <c r="A11" s="31" t="s">
        <v>364</v>
      </c>
      <c r="B11" s="31" t="s">
        <v>38</v>
      </c>
      <c r="C11" s="31" t="s">
        <v>68</v>
      </c>
      <c r="D11" s="31" t="n">
        <v>2003</v>
      </c>
      <c r="E11" s="31" t="s">
        <v>365</v>
      </c>
      <c r="F11" s="31" t="s">
        <v>366</v>
      </c>
      <c r="G11" s="31" t="n">
        <v>4.6</v>
      </c>
      <c r="H11" s="31" t="n">
        <v>142</v>
      </c>
      <c r="I11" s="31" t="s">
        <v>27</v>
      </c>
      <c r="J11" s="31" t="s">
        <v>118</v>
      </c>
      <c r="K11" s="31" t="s">
        <v>119</v>
      </c>
    </row>
    <row r="12" customFormat="false" ht="15" hidden="false" customHeight="false" outlineLevel="0" collapsed="false">
      <c r="A12" s="31" t="s">
        <v>291</v>
      </c>
      <c r="B12" s="31" t="s">
        <v>38</v>
      </c>
      <c r="C12" s="31" t="s">
        <v>52</v>
      </c>
      <c r="D12" s="31" t="n">
        <v>2018</v>
      </c>
      <c r="E12" s="31" t="s">
        <v>367</v>
      </c>
      <c r="F12" s="31" t="s">
        <v>368</v>
      </c>
      <c r="G12" s="31" t="n">
        <v>6</v>
      </c>
      <c r="H12" s="31" t="n">
        <v>133</v>
      </c>
      <c r="I12" s="31" t="s">
        <v>27</v>
      </c>
      <c r="J12" s="31" t="s">
        <v>154</v>
      </c>
      <c r="K12" s="31" t="s">
        <v>114</v>
      </c>
    </row>
    <row r="13" customFormat="false" ht="15" hidden="false" customHeight="false" outlineLevel="0" collapsed="false">
      <c r="A13" s="31" t="s">
        <v>150</v>
      </c>
      <c r="B13" s="31" t="s">
        <v>23</v>
      </c>
      <c r="C13" s="31" t="s">
        <v>31</v>
      </c>
      <c r="D13" s="31" t="n">
        <v>2002</v>
      </c>
      <c r="E13" s="31" t="s">
        <v>369</v>
      </c>
      <c r="F13" s="31" t="s">
        <v>370</v>
      </c>
      <c r="G13" s="31" t="n">
        <v>6.5</v>
      </c>
      <c r="H13" s="31" t="n">
        <v>135</v>
      </c>
      <c r="I13" s="31" t="s">
        <v>33</v>
      </c>
      <c r="J13" s="31" t="s">
        <v>118</v>
      </c>
      <c r="K13" s="31" t="s">
        <v>136</v>
      </c>
    </row>
    <row r="14" customFormat="false" ht="15" hidden="false" customHeight="false" outlineLevel="0" collapsed="false">
      <c r="A14" s="31" t="s">
        <v>289</v>
      </c>
      <c r="B14" s="31" t="s">
        <v>47</v>
      </c>
      <c r="C14" s="31" t="s">
        <v>66</v>
      </c>
      <c r="D14" s="31" t="n">
        <v>2017</v>
      </c>
      <c r="E14" s="31" t="s">
        <v>371</v>
      </c>
      <c r="F14" s="31" t="s">
        <v>372</v>
      </c>
      <c r="G14" s="31" t="n">
        <v>7</v>
      </c>
      <c r="H14" s="31" t="n">
        <v>110</v>
      </c>
      <c r="I14" s="31" t="s">
        <v>24</v>
      </c>
      <c r="J14" s="31" t="s">
        <v>118</v>
      </c>
      <c r="K14" s="31" t="s">
        <v>107</v>
      </c>
    </row>
    <row r="15" customFormat="false" ht="15" hidden="false" customHeight="false" outlineLevel="0" collapsed="false">
      <c r="A15" s="31" t="s">
        <v>332</v>
      </c>
      <c r="B15" s="31" t="s">
        <v>32</v>
      </c>
      <c r="C15" s="31" t="s">
        <v>76</v>
      </c>
      <c r="D15" s="31" t="n">
        <v>2022</v>
      </c>
      <c r="E15" s="31" t="s">
        <v>373</v>
      </c>
      <c r="F15" s="31" t="s">
        <v>374</v>
      </c>
      <c r="G15" s="31" t="n">
        <v>6</v>
      </c>
      <c r="H15" s="31" t="n">
        <v>102</v>
      </c>
      <c r="I15" s="31" t="s">
        <v>33</v>
      </c>
      <c r="J15" s="31" t="s">
        <v>103</v>
      </c>
      <c r="K15" s="31" t="s">
        <v>107</v>
      </c>
    </row>
    <row r="16" customFormat="false" ht="15" hidden="false" customHeight="false" outlineLevel="0" collapsed="false">
      <c r="A16" s="31" t="s">
        <v>335</v>
      </c>
      <c r="B16" s="31" t="s">
        <v>47</v>
      </c>
      <c r="C16" s="31" t="s">
        <v>76</v>
      </c>
      <c r="D16" s="31" t="n">
        <v>2022</v>
      </c>
      <c r="E16" s="31" t="s">
        <v>375</v>
      </c>
      <c r="F16" s="32"/>
      <c r="G16" s="31" t="n">
        <v>5</v>
      </c>
      <c r="H16" s="31" t="n">
        <v>123</v>
      </c>
      <c r="I16" s="31" t="s">
        <v>42</v>
      </c>
      <c r="J16" s="31" t="s">
        <v>148</v>
      </c>
      <c r="K16" s="31" t="s">
        <v>184</v>
      </c>
    </row>
    <row r="17" customFormat="false" ht="15" hidden="false" customHeight="false" outlineLevel="0" collapsed="false">
      <c r="A17" s="31" t="s">
        <v>376</v>
      </c>
      <c r="B17" s="31" t="s">
        <v>26</v>
      </c>
      <c r="C17" s="31" t="s">
        <v>28</v>
      </c>
      <c r="D17" s="31" t="n">
        <v>2020</v>
      </c>
      <c r="E17" s="32"/>
      <c r="F17" s="31" t="s">
        <v>377</v>
      </c>
      <c r="G17" s="31" t="n">
        <v>4.6</v>
      </c>
      <c r="H17" s="31" t="n">
        <v>110</v>
      </c>
      <c r="I17" s="31" t="s">
        <v>42</v>
      </c>
      <c r="J17" s="31" t="s">
        <v>118</v>
      </c>
      <c r="K17" s="31" t="s">
        <v>109</v>
      </c>
    </row>
    <row r="18" customFormat="false" ht="15" hidden="false" customHeight="false" outlineLevel="0" collapsed="false">
      <c r="A18" s="31" t="s">
        <v>224</v>
      </c>
      <c r="B18" s="31" t="s">
        <v>35</v>
      </c>
      <c r="C18" s="31" t="s">
        <v>68</v>
      </c>
      <c r="D18" s="31" t="n">
        <v>2010</v>
      </c>
      <c r="E18" s="31" t="s">
        <v>378</v>
      </c>
      <c r="F18" s="32"/>
      <c r="G18" s="31" t="n">
        <v>5.7</v>
      </c>
      <c r="H18" s="31" t="n">
        <v>116</v>
      </c>
      <c r="I18" s="31" t="s">
        <v>30</v>
      </c>
      <c r="J18" s="31" t="s">
        <v>121</v>
      </c>
      <c r="K18" s="31" t="s">
        <v>122</v>
      </c>
    </row>
    <row r="19" customFormat="false" ht="15" hidden="false" customHeight="false" outlineLevel="0" collapsed="false">
      <c r="A19" s="31" t="s">
        <v>379</v>
      </c>
      <c r="B19" s="31" t="s">
        <v>50</v>
      </c>
      <c r="C19" s="31" t="s">
        <v>72</v>
      </c>
      <c r="D19" s="31" t="n">
        <v>2020</v>
      </c>
      <c r="E19" s="31" t="s">
        <v>380</v>
      </c>
      <c r="F19" s="31" t="s">
        <v>381</v>
      </c>
      <c r="G19" s="31" t="n">
        <v>7.6</v>
      </c>
      <c r="H19" s="31" t="n">
        <v>107</v>
      </c>
      <c r="I19" s="31" t="s">
        <v>27</v>
      </c>
      <c r="J19" s="31" t="s">
        <v>152</v>
      </c>
      <c r="K19" s="31" t="s">
        <v>141</v>
      </c>
    </row>
    <row r="20" customFormat="false" ht="15" hidden="false" customHeight="false" outlineLevel="0" collapsed="false">
      <c r="A20" s="31" t="s">
        <v>226</v>
      </c>
      <c r="B20" s="31" t="s">
        <v>50</v>
      </c>
      <c r="C20" s="31" t="s">
        <v>56</v>
      </c>
      <c r="D20" s="31" t="n">
        <v>2010</v>
      </c>
      <c r="E20" s="31" t="s">
        <v>382</v>
      </c>
      <c r="F20" s="31" t="s">
        <v>383</v>
      </c>
      <c r="G20" s="31" t="n">
        <v>6.3</v>
      </c>
      <c r="H20" s="31" t="n">
        <v>133</v>
      </c>
      <c r="I20" s="31" t="s">
        <v>27</v>
      </c>
      <c r="J20" s="31" t="s">
        <v>111</v>
      </c>
      <c r="K20" s="31" t="s">
        <v>119</v>
      </c>
    </row>
    <row r="21" customFormat="false" ht="15" hidden="false" customHeight="false" outlineLevel="0" collapsed="false">
      <c r="A21" s="31" t="s">
        <v>241</v>
      </c>
      <c r="B21" s="31" t="s">
        <v>50</v>
      </c>
      <c r="C21" s="31" t="s">
        <v>28</v>
      </c>
      <c r="D21" s="31" t="n">
        <v>2011</v>
      </c>
      <c r="E21" s="31" t="s">
        <v>384</v>
      </c>
      <c r="F21" s="31" t="s">
        <v>385</v>
      </c>
      <c r="G21" s="31" t="n">
        <v>5.9</v>
      </c>
      <c r="H21" s="31" t="n">
        <v>96</v>
      </c>
      <c r="I21" s="31" t="s">
        <v>45</v>
      </c>
      <c r="J21" s="31" t="s">
        <v>113</v>
      </c>
      <c r="K21" s="31" t="s">
        <v>119</v>
      </c>
    </row>
    <row r="22" customFormat="false" ht="15" hidden="false" customHeight="false" outlineLevel="0" collapsed="false">
      <c r="A22" s="31" t="s">
        <v>290</v>
      </c>
      <c r="B22" s="31" t="s">
        <v>47</v>
      </c>
      <c r="C22" s="31" t="s">
        <v>60</v>
      </c>
      <c r="D22" s="31" t="n">
        <v>2018</v>
      </c>
      <c r="E22" s="31" t="s">
        <v>386</v>
      </c>
      <c r="F22" s="31" t="s">
        <v>387</v>
      </c>
      <c r="G22" s="31" t="n">
        <v>6.5</v>
      </c>
      <c r="H22" s="31" t="n">
        <v>107</v>
      </c>
      <c r="I22" s="31" t="s">
        <v>33</v>
      </c>
      <c r="J22" s="31" t="s">
        <v>144</v>
      </c>
      <c r="K22" s="31" t="s">
        <v>114</v>
      </c>
    </row>
    <row r="23" customFormat="false" ht="15" hidden="false" customHeight="false" outlineLevel="0" collapsed="false">
      <c r="A23" s="31" t="s">
        <v>223</v>
      </c>
      <c r="B23" s="31" t="s">
        <v>41</v>
      </c>
      <c r="C23" s="31" t="s">
        <v>61</v>
      </c>
      <c r="D23" s="31" t="n">
        <v>2009</v>
      </c>
      <c r="E23" s="31" t="s">
        <v>388</v>
      </c>
      <c r="F23" s="31" t="s">
        <v>389</v>
      </c>
      <c r="G23" s="31" t="n">
        <v>4.2</v>
      </c>
      <c r="H23" s="31" t="n">
        <v>101</v>
      </c>
      <c r="I23" s="31" t="s">
        <v>48</v>
      </c>
      <c r="J23" s="31" t="s">
        <v>121</v>
      </c>
      <c r="K23" s="31" t="s">
        <v>114</v>
      </c>
    </row>
    <row r="24" customFormat="false" ht="15" hidden="false" customHeight="false" outlineLevel="0" collapsed="false">
      <c r="A24" s="31" t="s">
        <v>138</v>
      </c>
      <c r="B24" s="31" t="s">
        <v>53</v>
      </c>
      <c r="C24" s="31" t="s">
        <v>34</v>
      </c>
      <c r="D24" s="31" t="n">
        <v>2002</v>
      </c>
      <c r="E24" s="31" t="s">
        <v>390</v>
      </c>
      <c r="F24" s="31" t="s">
        <v>391</v>
      </c>
      <c r="G24" s="31" t="n">
        <v>7.9</v>
      </c>
      <c r="H24" s="31" t="n">
        <v>112</v>
      </c>
      <c r="I24" s="31" t="s">
        <v>42</v>
      </c>
      <c r="J24" s="31" t="s">
        <v>139</v>
      </c>
      <c r="K24" s="32"/>
    </row>
    <row r="25" customFormat="false" ht="15" hidden="false" customHeight="false" outlineLevel="0" collapsed="false">
      <c r="A25" s="31" t="s">
        <v>215</v>
      </c>
      <c r="B25" s="31" t="s">
        <v>26</v>
      </c>
      <c r="C25" s="31" t="s">
        <v>55</v>
      </c>
      <c r="D25" s="31" t="n">
        <v>2008</v>
      </c>
      <c r="E25" s="31" t="s">
        <v>392</v>
      </c>
      <c r="F25" s="31" t="s">
        <v>393</v>
      </c>
      <c r="G25" s="31" t="n">
        <v>7.4</v>
      </c>
      <c r="H25" s="31" t="n">
        <v>124</v>
      </c>
      <c r="I25" s="31" t="s">
        <v>30</v>
      </c>
      <c r="J25" s="31" t="s">
        <v>148</v>
      </c>
      <c r="K25" s="31" t="s">
        <v>146</v>
      </c>
    </row>
    <row r="26" customFormat="false" ht="15" hidden="false" customHeight="false" outlineLevel="0" collapsed="false">
      <c r="A26" s="31" t="s">
        <v>278</v>
      </c>
      <c r="B26" s="31" t="s">
        <v>50</v>
      </c>
      <c r="C26" s="31" t="s">
        <v>72</v>
      </c>
      <c r="D26" s="31" t="n">
        <v>2016</v>
      </c>
      <c r="E26" s="31" t="s">
        <v>394</v>
      </c>
      <c r="F26" s="31" t="s">
        <v>395</v>
      </c>
      <c r="G26" s="31" t="n">
        <v>5.3</v>
      </c>
      <c r="H26" s="31" t="n">
        <v>109</v>
      </c>
      <c r="I26" s="31" t="s">
        <v>30</v>
      </c>
      <c r="J26" s="31" t="s">
        <v>111</v>
      </c>
      <c r="K26" s="31" t="s">
        <v>146</v>
      </c>
    </row>
    <row r="27" customFormat="false" ht="15" hidden="false" customHeight="false" outlineLevel="0" collapsed="false">
      <c r="A27" s="31" t="s">
        <v>189</v>
      </c>
      <c r="B27" s="31" t="s">
        <v>20</v>
      </c>
      <c r="C27" s="31" t="s">
        <v>69</v>
      </c>
      <c r="D27" s="31" t="n">
        <v>2005</v>
      </c>
      <c r="E27" s="31" t="s">
        <v>396</v>
      </c>
      <c r="F27" s="31" t="s">
        <v>397</v>
      </c>
      <c r="G27" s="31" t="n">
        <v>6.7</v>
      </c>
      <c r="H27" s="32"/>
      <c r="I27" s="31" t="s">
        <v>45</v>
      </c>
      <c r="J27" s="31" t="s">
        <v>154</v>
      </c>
      <c r="K27" s="32"/>
    </row>
    <row r="28" customFormat="false" ht="15" hidden="false" customHeight="false" outlineLevel="0" collapsed="false">
      <c r="A28" s="31" t="s">
        <v>249</v>
      </c>
      <c r="B28" s="31" t="s">
        <v>26</v>
      </c>
      <c r="C28" s="31" t="s">
        <v>57</v>
      </c>
      <c r="D28" s="31" t="n">
        <v>2012</v>
      </c>
      <c r="E28" s="31" t="s">
        <v>398</v>
      </c>
      <c r="F28" s="31" t="s">
        <v>399</v>
      </c>
      <c r="G28" s="31" t="n">
        <v>6.5</v>
      </c>
      <c r="H28" s="32"/>
      <c r="I28" s="31" t="s">
        <v>30</v>
      </c>
      <c r="J28" s="31" t="s">
        <v>170</v>
      </c>
      <c r="K28" s="31" t="s">
        <v>136</v>
      </c>
    </row>
    <row r="29" customFormat="false" ht="15" hidden="false" customHeight="false" outlineLevel="0" collapsed="false">
      <c r="A29" s="31" t="s">
        <v>198</v>
      </c>
      <c r="B29" s="31" t="s">
        <v>23</v>
      </c>
      <c r="C29" s="31" t="s">
        <v>68</v>
      </c>
      <c r="D29" s="31" t="n">
        <v>2006</v>
      </c>
      <c r="E29" s="31" t="s">
        <v>400</v>
      </c>
      <c r="F29" s="31" t="s">
        <v>401</v>
      </c>
      <c r="G29" s="31" t="n">
        <v>6.6</v>
      </c>
      <c r="H29" s="31" t="n">
        <v>131</v>
      </c>
      <c r="I29" s="31" t="s">
        <v>33</v>
      </c>
      <c r="J29" s="31" t="s">
        <v>139</v>
      </c>
      <c r="K29" s="31" t="s">
        <v>119</v>
      </c>
    </row>
    <row r="30" customFormat="false" ht="15" hidden="false" customHeight="false" outlineLevel="0" collapsed="false">
      <c r="A30" s="31" t="s">
        <v>232</v>
      </c>
      <c r="B30" s="31" t="s">
        <v>26</v>
      </c>
      <c r="C30" s="31" t="s">
        <v>49</v>
      </c>
      <c r="D30" s="31" t="n">
        <v>2010</v>
      </c>
      <c r="E30" s="31" t="s">
        <v>402</v>
      </c>
      <c r="F30" s="31" t="s">
        <v>403</v>
      </c>
      <c r="G30" s="31" t="n">
        <v>4.7</v>
      </c>
      <c r="H30" s="31" t="n">
        <v>116</v>
      </c>
      <c r="I30" s="31" t="s">
        <v>33</v>
      </c>
      <c r="J30" s="31" t="s">
        <v>125</v>
      </c>
      <c r="K30" s="31" t="s">
        <v>119</v>
      </c>
    </row>
    <row r="31" customFormat="false" ht="15" hidden="false" customHeight="false" outlineLevel="0" collapsed="false">
      <c r="A31" s="31" t="s">
        <v>102</v>
      </c>
      <c r="B31" s="31" t="s">
        <v>50</v>
      </c>
      <c r="C31" s="31" t="s">
        <v>64</v>
      </c>
      <c r="D31" s="31" t="n">
        <v>2000</v>
      </c>
      <c r="E31" s="31" t="s">
        <v>404</v>
      </c>
      <c r="F31" s="31" t="s">
        <v>405</v>
      </c>
      <c r="G31" s="31" t="n">
        <v>5.6</v>
      </c>
      <c r="H31" s="31" t="n">
        <v>153</v>
      </c>
      <c r="I31" s="31" t="s">
        <v>45</v>
      </c>
      <c r="J31" s="31" t="s">
        <v>103</v>
      </c>
      <c r="K31" s="31" t="s">
        <v>104</v>
      </c>
    </row>
    <row r="32" customFormat="false" ht="15" hidden="false" customHeight="false" outlineLevel="0" collapsed="false">
      <c r="A32" s="31" t="s">
        <v>153</v>
      </c>
      <c r="B32" s="31" t="s">
        <v>53</v>
      </c>
      <c r="C32" s="31" t="s">
        <v>62</v>
      </c>
      <c r="D32" s="31" t="n">
        <v>2002</v>
      </c>
      <c r="E32" s="31" t="s">
        <v>406</v>
      </c>
      <c r="F32" s="31" t="s">
        <v>407</v>
      </c>
      <c r="G32" s="31" t="n">
        <v>6.4</v>
      </c>
      <c r="H32" s="31" t="n">
        <v>136</v>
      </c>
      <c r="I32" s="31" t="s">
        <v>45</v>
      </c>
      <c r="J32" s="31" t="s">
        <v>154</v>
      </c>
      <c r="K32" s="31" t="s">
        <v>136</v>
      </c>
    </row>
    <row r="33" customFormat="false" ht="15" hidden="false" customHeight="false" outlineLevel="0" collapsed="false">
      <c r="A33" s="31" t="s">
        <v>145</v>
      </c>
      <c r="B33" s="31" t="s">
        <v>50</v>
      </c>
      <c r="C33" s="31" t="s">
        <v>64</v>
      </c>
      <c r="D33" s="31" t="n">
        <v>2002</v>
      </c>
      <c r="E33" s="31" t="s">
        <v>408</v>
      </c>
      <c r="F33" s="31" t="s">
        <v>409</v>
      </c>
      <c r="G33" s="31" t="n">
        <v>6.5</v>
      </c>
      <c r="H33" s="31" t="n">
        <v>91</v>
      </c>
      <c r="I33" s="31" t="s">
        <v>39</v>
      </c>
      <c r="J33" s="31" t="s">
        <v>103</v>
      </c>
      <c r="K33" s="31" t="s">
        <v>146</v>
      </c>
    </row>
    <row r="34" customFormat="false" ht="15" hidden="false" customHeight="false" outlineLevel="0" collapsed="false">
      <c r="A34" s="31" t="s">
        <v>243</v>
      </c>
      <c r="B34" s="31" t="s">
        <v>20</v>
      </c>
      <c r="C34" s="31" t="s">
        <v>76</v>
      </c>
      <c r="D34" s="31" t="n">
        <v>2012</v>
      </c>
      <c r="E34" s="31" t="s">
        <v>410</v>
      </c>
      <c r="F34" s="31" t="s">
        <v>411</v>
      </c>
      <c r="G34" s="31" t="n">
        <v>6.5</v>
      </c>
      <c r="H34" s="31" t="n">
        <v>112</v>
      </c>
      <c r="I34" s="31" t="s">
        <v>27</v>
      </c>
      <c r="J34" s="31" t="s">
        <v>139</v>
      </c>
      <c r="K34" s="31" t="s">
        <v>109</v>
      </c>
    </row>
    <row r="35" customFormat="false" ht="15" hidden="false" customHeight="false" outlineLevel="0" collapsed="false">
      <c r="A35" s="31" t="s">
        <v>216</v>
      </c>
      <c r="B35" s="31" t="s">
        <v>47</v>
      </c>
      <c r="C35" s="31" t="s">
        <v>77</v>
      </c>
      <c r="D35" s="31" t="n">
        <v>2009</v>
      </c>
      <c r="E35" s="31" t="s">
        <v>412</v>
      </c>
      <c r="F35" s="31" t="s">
        <v>413</v>
      </c>
      <c r="G35" s="31" t="n">
        <v>6.3</v>
      </c>
      <c r="H35" s="31" t="n">
        <v>103</v>
      </c>
      <c r="I35" s="31" t="s">
        <v>33</v>
      </c>
      <c r="J35" s="31" t="s">
        <v>181</v>
      </c>
      <c r="K35" s="31" t="s">
        <v>107</v>
      </c>
    </row>
    <row r="36" customFormat="false" ht="15" hidden="false" customHeight="false" outlineLevel="0" collapsed="false">
      <c r="A36" s="31" t="s">
        <v>323</v>
      </c>
      <c r="B36" s="31" t="s">
        <v>47</v>
      </c>
      <c r="C36" s="31" t="s">
        <v>52</v>
      </c>
      <c r="D36" s="31" t="n">
        <v>2021</v>
      </c>
      <c r="E36" s="31" t="s">
        <v>414</v>
      </c>
      <c r="F36" s="31" t="s">
        <v>415</v>
      </c>
      <c r="G36" s="31" t="n">
        <v>7.4</v>
      </c>
      <c r="H36" s="31" t="n">
        <v>87</v>
      </c>
      <c r="I36" s="31" t="s">
        <v>39</v>
      </c>
      <c r="J36" s="31" t="s">
        <v>111</v>
      </c>
      <c r="K36" s="31" t="s">
        <v>122</v>
      </c>
    </row>
    <row r="37" customFormat="false" ht="15" hidden="false" customHeight="false" outlineLevel="0" collapsed="false">
      <c r="A37" s="31" t="s">
        <v>220</v>
      </c>
      <c r="B37" s="31" t="s">
        <v>32</v>
      </c>
      <c r="C37" s="31" t="s">
        <v>72</v>
      </c>
      <c r="D37" s="31" t="n">
        <v>2009</v>
      </c>
      <c r="E37" s="31" t="s">
        <v>416</v>
      </c>
      <c r="F37" s="31" t="s">
        <v>417</v>
      </c>
      <c r="G37" s="31" t="n">
        <v>3.5</v>
      </c>
      <c r="H37" s="31" t="n">
        <v>110</v>
      </c>
      <c r="I37" s="31" t="s">
        <v>27</v>
      </c>
      <c r="J37" s="31" t="s">
        <v>148</v>
      </c>
      <c r="K37" s="31" t="s">
        <v>141</v>
      </c>
    </row>
    <row r="38" customFormat="false" ht="15" hidden="false" customHeight="false" outlineLevel="0" collapsed="false">
      <c r="A38" s="31" t="s">
        <v>418</v>
      </c>
      <c r="B38" s="31" t="s">
        <v>23</v>
      </c>
      <c r="C38" s="31" t="s">
        <v>61</v>
      </c>
      <c r="D38" s="31" t="n">
        <v>2016</v>
      </c>
      <c r="E38" s="31" t="s">
        <v>419</v>
      </c>
      <c r="F38" s="31" t="s">
        <v>420</v>
      </c>
      <c r="G38" s="31" t="n">
        <v>6.5</v>
      </c>
      <c r="H38" s="31" t="n">
        <v>134</v>
      </c>
      <c r="I38" s="31" t="s">
        <v>30</v>
      </c>
      <c r="J38" s="31" t="s">
        <v>144</v>
      </c>
      <c r="K38" s="31" t="s">
        <v>146</v>
      </c>
    </row>
    <row r="39" customFormat="false" ht="15" hidden="false" customHeight="false" outlineLevel="0" collapsed="false">
      <c r="A39" s="31" t="s">
        <v>275</v>
      </c>
      <c r="B39" s="31" t="s">
        <v>26</v>
      </c>
      <c r="C39" s="31" t="s">
        <v>28</v>
      </c>
      <c r="D39" s="31" t="n">
        <v>2016</v>
      </c>
      <c r="E39" s="31" t="s">
        <v>421</v>
      </c>
      <c r="F39" s="31" t="s">
        <v>422</v>
      </c>
      <c r="G39" s="31" t="n">
        <v>5</v>
      </c>
      <c r="H39" s="31" t="n">
        <v>126</v>
      </c>
      <c r="I39" s="31" t="s">
        <v>45</v>
      </c>
      <c r="J39" s="31" t="s">
        <v>116</v>
      </c>
      <c r="K39" s="31" t="s">
        <v>104</v>
      </c>
    </row>
    <row r="40" customFormat="false" ht="15" hidden="false" customHeight="false" outlineLevel="0" collapsed="false">
      <c r="A40" s="31" t="s">
        <v>423</v>
      </c>
      <c r="B40" s="31" t="s">
        <v>44</v>
      </c>
      <c r="C40" s="31" t="s">
        <v>62</v>
      </c>
      <c r="D40" s="31" t="n">
        <v>2003</v>
      </c>
      <c r="E40" s="31" t="s">
        <v>424</v>
      </c>
      <c r="F40" s="31" t="s">
        <v>425</v>
      </c>
      <c r="G40" s="31" t="n">
        <v>4.3</v>
      </c>
      <c r="H40" s="31" t="n">
        <v>91</v>
      </c>
      <c r="I40" s="31" t="s">
        <v>48</v>
      </c>
      <c r="J40" s="31" t="s">
        <v>111</v>
      </c>
      <c r="K40" s="31" t="s">
        <v>114</v>
      </c>
    </row>
    <row r="41" customFormat="false" ht="15" hidden="false" customHeight="false" outlineLevel="0" collapsed="false">
      <c r="A41" s="31" t="s">
        <v>173</v>
      </c>
      <c r="B41" s="31" t="s">
        <v>38</v>
      </c>
      <c r="C41" s="31" t="s">
        <v>52</v>
      </c>
      <c r="D41" s="31" t="n">
        <v>2004</v>
      </c>
      <c r="E41" s="31" t="s">
        <v>426</v>
      </c>
      <c r="F41" s="31" t="s">
        <v>427</v>
      </c>
      <c r="G41" s="31" t="n">
        <v>5.9</v>
      </c>
      <c r="H41" s="31" t="n">
        <v>124</v>
      </c>
      <c r="I41" s="31" t="s">
        <v>36</v>
      </c>
      <c r="J41" s="31" t="s">
        <v>113</v>
      </c>
      <c r="K41" s="31" t="s">
        <v>119</v>
      </c>
    </row>
    <row r="42" customFormat="false" ht="15" hidden="false" customHeight="false" outlineLevel="0" collapsed="false">
      <c r="A42" s="31" t="s">
        <v>161</v>
      </c>
      <c r="B42" s="31" t="s">
        <v>32</v>
      </c>
      <c r="C42" s="31" t="s">
        <v>57</v>
      </c>
      <c r="D42" s="31" t="n">
        <v>2003</v>
      </c>
      <c r="E42" s="31" t="s">
        <v>428</v>
      </c>
      <c r="F42" s="31" t="s">
        <v>429</v>
      </c>
      <c r="G42" s="31" t="n">
        <v>6.5</v>
      </c>
      <c r="H42" s="31" t="n">
        <v>94</v>
      </c>
      <c r="I42" s="31" t="s">
        <v>24</v>
      </c>
      <c r="J42" s="32"/>
      <c r="K42" s="31" t="s">
        <v>109</v>
      </c>
    </row>
    <row r="43" customFormat="false" ht="15" hidden="false" customHeight="false" outlineLevel="0" collapsed="false">
      <c r="A43" s="31" t="s">
        <v>326</v>
      </c>
      <c r="B43" s="31" t="s">
        <v>38</v>
      </c>
      <c r="C43" s="31" t="s">
        <v>46</v>
      </c>
      <c r="D43" s="31" t="n">
        <v>2021</v>
      </c>
      <c r="E43" s="31" t="s">
        <v>430</v>
      </c>
      <c r="F43" s="31" t="s">
        <v>431</v>
      </c>
      <c r="G43" s="31" t="n">
        <v>6.2</v>
      </c>
      <c r="H43" s="31" t="n">
        <v>142</v>
      </c>
      <c r="I43" s="31" t="s">
        <v>45</v>
      </c>
      <c r="J43" s="31" t="s">
        <v>125</v>
      </c>
      <c r="K43" s="31" t="s">
        <v>146</v>
      </c>
    </row>
    <row r="44" customFormat="false" ht="15" hidden="false" customHeight="false" outlineLevel="0" collapsed="false">
      <c r="A44" s="31" t="s">
        <v>132</v>
      </c>
      <c r="B44" s="31" t="s">
        <v>26</v>
      </c>
      <c r="C44" s="31" t="s">
        <v>40</v>
      </c>
      <c r="D44" s="31" t="n">
        <v>2002</v>
      </c>
      <c r="E44" s="31" t="s">
        <v>432</v>
      </c>
      <c r="F44" s="31" t="s">
        <v>433</v>
      </c>
      <c r="G44" s="31" t="n">
        <v>7.2</v>
      </c>
      <c r="H44" s="31" t="n">
        <v>110</v>
      </c>
      <c r="I44" s="31" t="s">
        <v>27</v>
      </c>
      <c r="J44" s="31" t="s">
        <v>118</v>
      </c>
      <c r="K44" s="31" t="s">
        <v>131</v>
      </c>
    </row>
    <row r="45" customFormat="false" ht="15" hidden="false" customHeight="false" outlineLevel="0" collapsed="false">
      <c r="A45" s="31" t="s">
        <v>266</v>
      </c>
      <c r="B45" s="31" t="s">
        <v>32</v>
      </c>
      <c r="C45" s="31" t="s">
        <v>28</v>
      </c>
      <c r="D45" s="31" t="n">
        <v>2014</v>
      </c>
      <c r="E45" s="31" t="s">
        <v>434</v>
      </c>
      <c r="F45" s="32"/>
      <c r="G45" s="31" t="n">
        <v>2.9</v>
      </c>
      <c r="H45" s="31" t="n">
        <v>91</v>
      </c>
      <c r="I45" s="31" t="s">
        <v>21</v>
      </c>
      <c r="J45" s="31" t="s">
        <v>103</v>
      </c>
      <c r="K45" s="31" t="s">
        <v>184</v>
      </c>
    </row>
    <row r="46" customFormat="false" ht="15" hidden="false" customHeight="false" outlineLevel="0" collapsed="false">
      <c r="A46" s="31" t="s">
        <v>232</v>
      </c>
      <c r="B46" s="31" t="s">
        <v>26</v>
      </c>
      <c r="C46" s="31" t="s">
        <v>49</v>
      </c>
      <c r="D46" s="31" t="n">
        <v>2010</v>
      </c>
      <c r="E46" s="31" t="s">
        <v>402</v>
      </c>
      <c r="F46" s="31" t="s">
        <v>435</v>
      </c>
      <c r="G46" s="31" t="n">
        <v>4.7</v>
      </c>
      <c r="H46" s="31" t="n">
        <v>116</v>
      </c>
      <c r="I46" s="31" t="s">
        <v>33</v>
      </c>
      <c r="J46" s="31" t="s">
        <v>125</v>
      </c>
      <c r="K46" s="31" t="s">
        <v>119</v>
      </c>
    </row>
    <row r="47" customFormat="false" ht="15" hidden="false" customHeight="false" outlineLevel="0" collapsed="false">
      <c r="A47" s="31" t="s">
        <v>272</v>
      </c>
      <c r="B47" s="31" t="s">
        <v>436</v>
      </c>
      <c r="C47" s="31" t="s">
        <v>60</v>
      </c>
      <c r="D47" s="31" t="n">
        <v>2015</v>
      </c>
      <c r="E47" s="32"/>
      <c r="F47" s="31" t="s">
        <v>437</v>
      </c>
      <c r="G47" s="31" t="n">
        <v>5</v>
      </c>
      <c r="H47" s="31" t="n">
        <v>96</v>
      </c>
      <c r="I47" s="31" t="s">
        <v>30</v>
      </c>
      <c r="J47" s="31" t="s">
        <v>118</v>
      </c>
      <c r="K47" s="31" t="s">
        <v>104</v>
      </c>
    </row>
    <row r="48" customFormat="false" ht="15" hidden="false" customHeight="false" outlineLevel="0" collapsed="false">
      <c r="A48" s="31" t="s">
        <v>268</v>
      </c>
      <c r="B48" s="31" t="s">
        <v>26</v>
      </c>
      <c r="C48" s="31" t="s">
        <v>56</v>
      </c>
      <c r="D48" s="31" t="n">
        <v>2014</v>
      </c>
      <c r="E48" s="31" t="s">
        <v>438</v>
      </c>
      <c r="F48" s="31" t="s">
        <v>439</v>
      </c>
      <c r="G48" s="31" t="n">
        <v>7.1</v>
      </c>
      <c r="H48" s="31" t="n">
        <v>129</v>
      </c>
      <c r="I48" s="31" t="s">
        <v>36</v>
      </c>
      <c r="J48" s="31" t="s">
        <v>113</v>
      </c>
      <c r="K48" s="31" t="s">
        <v>184</v>
      </c>
    </row>
    <row r="49" customFormat="false" ht="15" hidden="false" customHeight="false" outlineLevel="0" collapsed="false">
      <c r="A49" s="31" t="s">
        <v>196</v>
      </c>
      <c r="B49" s="31" t="s">
        <v>38</v>
      </c>
      <c r="C49" s="31" t="s">
        <v>54</v>
      </c>
      <c r="D49" s="31" t="n">
        <v>2006</v>
      </c>
      <c r="E49" s="31" t="s">
        <v>440</v>
      </c>
      <c r="F49" s="31" t="s">
        <v>441</v>
      </c>
      <c r="G49" s="31" t="n">
        <v>8.9</v>
      </c>
      <c r="H49" s="31" t="n">
        <v>95</v>
      </c>
      <c r="I49" s="31" t="s">
        <v>27</v>
      </c>
      <c r="J49" s="31" t="s">
        <v>139</v>
      </c>
      <c r="K49" s="31" t="s">
        <v>128</v>
      </c>
    </row>
    <row r="50" customFormat="false" ht="15" hidden="false" customHeight="false" outlineLevel="0" collapsed="false">
      <c r="A50" s="31" t="s">
        <v>345</v>
      </c>
      <c r="B50" s="31" t="s">
        <v>35</v>
      </c>
      <c r="C50" s="31" t="s">
        <v>65</v>
      </c>
      <c r="D50" s="31" t="n">
        <v>2024</v>
      </c>
      <c r="E50" s="31" t="s">
        <v>442</v>
      </c>
      <c r="F50" s="31" t="s">
        <v>443</v>
      </c>
      <c r="G50" s="31" t="n">
        <v>6.6</v>
      </c>
      <c r="H50" s="31" t="n">
        <v>102</v>
      </c>
      <c r="I50" s="31" t="s">
        <v>45</v>
      </c>
      <c r="J50" s="31" t="s">
        <v>170</v>
      </c>
      <c r="K50" s="31" t="s">
        <v>122</v>
      </c>
    </row>
    <row r="51" customFormat="false" ht="15" hidden="false" customHeight="false" outlineLevel="0" collapsed="false">
      <c r="A51" s="31" t="s">
        <v>338</v>
      </c>
      <c r="B51" s="31" t="s">
        <v>44</v>
      </c>
      <c r="C51" s="31" t="s">
        <v>43</v>
      </c>
      <c r="D51" s="31" t="n">
        <v>2022</v>
      </c>
      <c r="E51" s="31" t="s">
        <v>444</v>
      </c>
      <c r="F51" s="31" t="s">
        <v>445</v>
      </c>
      <c r="G51" s="31" t="n">
        <v>7.4</v>
      </c>
      <c r="H51" s="31" t="n">
        <v>75</v>
      </c>
      <c r="I51" s="31" t="s">
        <v>27</v>
      </c>
      <c r="J51" s="31" t="s">
        <v>113</v>
      </c>
      <c r="K51" s="31" t="s">
        <v>114</v>
      </c>
    </row>
    <row r="52" customFormat="false" ht="15" hidden="false" customHeight="false" outlineLevel="0" collapsed="false">
      <c r="A52" s="31" t="s">
        <v>446</v>
      </c>
      <c r="B52" s="31" t="s">
        <v>32</v>
      </c>
      <c r="C52" s="31" t="s">
        <v>63</v>
      </c>
      <c r="D52" s="31" t="n">
        <v>2016</v>
      </c>
      <c r="E52" s="31" t="s">
        <v>447</v>
      </c>
      <c r="F52" s="31" t="s">
        <v>448</v>
      </c>
      <c r="G52" s="31" t="n">
        <v>8.3</v>
      </c>
      <c r="H52" s="31" t="n">
        <v>132</v>
      </c>
      <c r="I52" s="31" t="s">
        <v>48</v>
      </c>
      <c r="J52" s="31" t="s">
        <v>154</v>
      </c>
      <c r="K52" s="31" t="s">
        <v>136</v>
      </c>
    </row>
    <row r="53" customFormat="false" ht="15" hidden="false" customHeight="false" outlineLevel="0" collapsed="false">
      <c r="A53" s="31" t="s">
        <v>298</v>
      </c>
      <c r="B53" s="31" t="s">
        <v>23</v>
      </c>
      <c r="C53" s="31" t="s">
        <v>68</v>
      </c>
      <c r="D53" s="31" t="n">
        <v>2018</v>
      </c>
      <c r="E53" s="31" t="s">
        <v>449</v>
      </c>
      <c r="F53" s="31" t="s">
        <v>450</v>
      </c>
      <c r="G53" s="31" t="n">
        <v>7.6</v>
      </c>
      <c r="H53" s="31" t="n">
        <v>130</v>
      </c>
      <c r="I53" s="31" t="s">
        <v>30</v>
      </c>
      <c r="J53" s="31" t="s">
        <v>103</v>
      </c>
      <c r="K53" s="31" t="s">
        <v>141</v>
      </c>
    </row>
    <row r="54" customFormat="false" ht="15" hidden="false" customHeight="false" outlineLevel="0" collapsed="false">
      <c r="A54" s="31" t="s">
        <v>248</v>
      </c>
      <c r="B54" s="31" t="s">
        <v>32</v>
      </c>
      <c r="C54" s="31" t="s">
        <v>65</v>
      </c>
      <c r="D54" s="31" t="n">
        <v>2012</v>
      </c>
      <c r="E54" s="31" t="s">
        <v>451</v>
      </c>
      <c r="F54" s="31" t="s">
        <v>452</v>
      </c>
      <c r="G54" s="32"/>
      <c r="H54" s="31" t="n">
        <v>133</v>
      </c>
      <c r="I54" s="31" t="s">
        <v>21</v>
      </c>
      <c r="J54" s="31" t="s">
        <v>103</v>
      </c>
      <c r="K54" s="31" t="s">
        <v>146</v>
      </c>
    </row>
    <row r="55" customFormat="false" ht="15" hidden="false" customHeight="false" outlineLevel="0" collapsed="false">
      <c r="A55" s="31" t="s">
        <v>206</v>
      </c>
      <c r="B55" s="31" t="s">
        <v>41</v>
      </c>
      <c r="C55" s="31" t="s">
        <v>54</v>
      </c>
      <c r="D55" s="31" t="n">
        <v>2007</v>
      </c>
      <c r="E55" s="31" t="s">
        <v>453</v>
      </c>
      <c r="F55" s="31" t="s">
        <v>454</v>
      </c>
      <c r="G55" s="31" t="n">
        <v>5</v>
      </c>
      <c r="H55" s="31" t="n">
        <v>115</v>
      </c>
      <c r="I55" s="31" t="s">
        <v>24</v>
      </c>
      <c r="J55" s="31" t="s">
        <v>152</v>
      </c>
      <c r="K55" s="31" t="s">
        <v>146</v>
      </c>
    </row>
    <row r="56" customFormat="false" ht="15" hidden="false" customHeight="false" outlineLevel="0" collapsed="false">
      <c r="A56" s="31" t="s">
        <v>313</v>
      </c>
      <c r="B56" s="31" t="s">
        <v>35</v>
      </c>
      <c r="C56" s="31" t="s">
        <v>46</v>
      </c>
      <c r="D56" s="31" t="n">
        <v>2020</v>
      </c>
      <c r="E56" s="32"/>
      <c r="F56" s="31" t="s">
        <v>455</v>
      </c>
      <c r="G56" s="32"/>
      <c r="H56" s="31" t="n">
        <v>128</v>
      </c>
      <c r="I56" s="31" t="s">
        <v>33</v>
      </c>
      <c r="J56" s="31" t="s">
        <v>103</v>
      </c>
      <c r="K56" s="31" t="s">
        <v>131</v>
      </c>
    </row>
    <row r="57" customFormat="false" ht="15" hidden="false" customHeight="false" outlineLevel="0" collapsed="false">
      <c r="A57" s="31" t="s">
        <v>282</v>
      </c>
      <c r="B57" s="31" t="s">
        <v>23</v>
      </c>
      <c r="C57" s="31" t="s">
        <v>56</v>
      </c>
      <c r="D57" s="31" t="n">
        <v>2016</v>
      </c>
      <c r="E57" s="31" t="s">
        <v>456</v>
      </c>
      <c r="F57" s="31" t="s">
        <v>457</v>
      </c>
      <c r="G57" s="32"/>
      <c r="H57" s="31" t="n">
        <v>88</v>
      </c>
      <c r="I57" s="31" t="s">
        <v>39</v>
      </c>
      <c r="J57" s="31" t="s">
        <v>181</v>
      </c>
      <c r="K57" s="31" t="s">
        <v>184</v>
      </c>
    </row>
    <row r="58" customFormat="false" ht="15" hidden="false" customHeight="false" outlineLevel="0" collapsed="false">
      <c r="A58" s="31" t="s">
        <v>142</v>
      </c>
      <c r="B58" s="31" t="s">
        <v>458</v>
      </c>
      <c r="C58" s="31" t="s">
        <v>49</v>
      </c>
      <c r="D58" s="31" t="n">
        <v>2002</v>
      </c>
      <c r="E58" s="31" t="s">
        <v>459</v>
      </c>
      <c r="F58" s="31" t="s">
        <v>460</v>
      </c>
      <c r="G58" s="31" t="n">
        <v>6.9</v>
      </c>
      <c r="H58" s="31" t="n">
        <v>103</v>
      </c>
      <c r="I58" s="31" t="s">
        <v>30</v>
      </c>
      <c r="J58" s="31" t="s">
        <v>121</v>
      </c>
      <c r="K58" s="31" t="s">
        <v>461</v>
      </c>
    </row>
    <row r="59" customFormat="false" ht="15" hidden="false" customHeight="false" outlineLevel="0" collapsed="false">
      <c r="A59" s="31" t="s">
        <v>261</v>
      </c>
      <c r="B59" s="31" t="s">
        <v>50</v>
      </c>
      <c r="C59" s="31" t="s">
        <v>25</v>
      </c>
      <c r="D59" s="31" t="n">
        <v>2013</v>
      </c>
      <c r="E59" s="31" t="s">
        <v>462</v>
      </c>
      <c r="F59" s="31" t="s">
        <v>463</v>
      </c>
      <c r="G59" s="31" t="n">
        <v>5.4</v>
      </c>
      <c r="H59" s="31" t="n">
        <v>100</v>
      </c>
      <c r="I59" s="31" t="s">
        <v>42</v>
      </c>
      <c r="J59" s="31" t="s">
        <v>103</v>
      </c>
      <c r="K59" s="31" t="s">
        <v>146</v>
      </c>
    </row>
    <row r="60" customFormat="false" ht="15" hidden="false" customHeight="false" outlineLevel="0" collapsed="false">
      <c r="A60" s="31" t="s">
        <v>171</v>
      </c>
      <c r="B60" s="31" t="s">
        <v>38</v>
      </c>
      <c r="C60" s="31" t="s">
        <v>76</v>
      </c>
      <c r="D60" s="31" t="n">
        <v>2004</v>
      </c>
      <c r="E60" s="31" t="s">
        <v>464</v>
      </c>
      <c r="F60" s="31" t="s">
        <v>465</v>
      </c>
      <c r="G60" s="31" t="n">
        <v>7.2</v>
      </c>
      <c r="H60" s="31" t="n">
        <v>127</v>
      </c>
      <c r="I60" s="31" t="s">
        <v>42</v>
      </c>
      <c r="J60" s="31" t="s">
        <v>121</v>
      </c>
      <c r="K60" s="31" t="s">
        <v>122</v>
      </c>
    </row>
    <row r="61" customFormat="false" ht="15" hidden="false" customHeight="false" outlineLevel="0" collapsed="false">
      <c r="A61" s="31" t="s">
        <v>283</v>
      </c>
      <c r="B61" s="31" t="s">
        <v>35</v>
      </c>
      <c r="C61" s="31" t="s">
        <v>28</v>
      </c>
      <c r="D61" s="31" t="n">
        <v>2017</v>
      </c>
      <c r="E61" s="31" t="s">
        <v>466</v>
      </c>
      <c r="F61" s="31" t="s">
        <v>467</v>
      </c>
      <c r="G61" s="31" t="n">
        <v>8.3</v>
      </c>
      <c r="H61" s="31" t="n">
        <v>83</v>
      </c>
      <c r="I61" s="31" t="s">
        <v>45</v>
      </c>
      <c r="J61" s="31" t="s">
        <v>170</v>
      </c>
      <c r="K61" s="31" t="s">
        <v>141</v>
      </c>
    </row>
    <row r="62" customFormat="false" ht="15" hidden="false" customHeight="false" outlineLevel="0" collapsed="false">
      <c r="A62" s="31" t="s">
        <v>468</v>
      </c>
      <c r="B62" s="31" t="s">
        <v>47</v>
      </c>
      <c r="C62" s="31" t="s">
        <v>65</v>
      </c>
      <c r="D62" s="31" t="n">
        <v>2002</v>
      </c>
      <c r="E62" s="31" t="s">
        <v>469</v>
      </c>
      <c r="F62" s="31" t="s">
        <v>470</v>
      </c>
      <c r="G62" s="31" t="n">
        <v>5.5</v>
      </c>
      <c r="H62" s="31" t="n">
        <v>83</v>
      </c>
      <c r="I62" s="31" t="s">
        <v>30</v>
      </c>
      <c r="J62" s="31" t="s">
        <v>116</v>
      </c>
      <c r="K62" s="31" t="s">
        <v>128</v>
      </c>
    </row>
    <row r="63" customFormat="false" ht="15" hidden="false" customHeight="false" outlineLevel="0" collapsed="false">
      <c r="A63" s="31" t="s">
        <v>262</v>
      </c>
      <c r="B63" s="31" t="s">
        <v>38</v>
      </c>
      <c r="C63" s="31" t="s">
        <v>67</v>
      </c>
      <c r="D63" s="31" t="n">
        <v>2014</v>
      </c>
      <c r="E63" s="31" t="s">
        <v>471</v>
      </c>
      <c r="F63" s="31" t="s">
        <v>472</v>
      </c>
      <c r="G63" s="31" t="n">
        <v>7.2</v>
      </c>
      <c r="H63" s="31" t="n">
        <v>157</v>
      </c>
      <c r="I63" s="31" t="s">
        <v>48</v>
      </c>
      <c r="J63" s="31" t="s">
        <v>103</v>
      </c>
      <c r="K63" s="31" t="s">
        <v>136</v>
      </c>
    </row>
    <row r="64" customFormat="false" ht="15" hidden="false" customHeight="false" outlineLevel="0" collapsed="false">
      <c r="A64" s="31" t="s">
        <v>188</v>
      </c>
      <c r="B64" s="31" t="s">
        <v>26</v>
      </c>
      <c r="C64" s="31" t="s">
        <v>76</v>
      </c>
      <c r="D64" s="31" t="n">
        <v>2005</v>
      </c>
      <c r="E64" s="31" t="s">
        <v>473</v>
      </c>
      <c r="F64" s="31" t="s">
        <v>474</v>
      </c>
      <c r="G64" s="31" t="n">
        <v>6.7</v>
      </c>
      <c r="H64" s="31" t="n">
        <v>102</v>
      </c>
      <c r="I64" s="31" t="s">
        <v>24</v>
      </c>
      <c r="J64" s="31" t="s">
        <v>139</v>
      </c>
      <c r="K64" s="31" t="s">
        <v>128</v>
      </c>
    </row>
    <row r="65" customFormat="false" ht="15" hidden="false" customHeight="false" outlineLevel="0" collapsed="false">
      <c r="A65" s="31" t="s">
        <v>159</v>
      </c>
      <c r="B65" s="31" t="s">
        <v>20</v>
      </c>
      <c r="C65" s="31" t="s">
        <v>67</v>
      </c>
      <c r="D65" s="31" t="n">
        <v>2003</v>
      </c>
      <c r="E65" s="31" t="s">
        <v>475</v>
      </c>
      <c r="F65" s="31" t="s">
        <v>476</v>
      </c>
      <c r="G65" s="31" t="n">
        <v>6.9</v>
      </c>
      <c r="H65" s="31" t="n">
        <v>131</v>
      </c>
      <c r="I65" s="31" t="s">
        <v>24</v>
      </c>
      <c r="J65" s="31" t="s">
        <v>118</v>
      </c>
      <c r="K65" s="31" t="s">
        <v>136</v>
      </c>
    </row>
    <row r="66" customFormat="false" ht="15" hidden="false" customHeight="false" outlineLevel="0" collapsed="false">
      <c r="A66" s="31" t="s">
        <v>160</v>
      </c>
      <c r="B66" s="31" t="s">
        <v>50</v>
      </c>
      <c r="C66" s="31" t="s">
        <v>65</v>
      </c>
      <c r="D66" s="31" t="n">
        <v>2003</v>
      </c>
      <c r="E66" s="31" t="s">
        <v>477</v>
      </c>
      <c r="F66" s="31" t="s">
        <v>478</v>
      </c>
      <c r="G66" s="31" t="n">
        <v>4.4</v>
      </c>
      <c r="H66" s="31" t="n">
        <v>111</v>
      </c>
      <c r="I66" s="31" t="s">
        <v>30</v>
      </c>
      <c r="J66" s="31" t="s">
        <v>152</v>
      </c>
      <c r="K66" s="31" t="s">
        <v>141</v>
      </c>
    </row>
    <row r="67" customFormat="false" ht="15" hidden="false" customHeight="false" outlineLevel="0" collapsed="false">
      <c r="A67" s="31" t="s">
        <v>479</v>
      </c>
      <c r="B67" s="31" t="s">
        <v>29</v>
      </c>
      <c r="C67" s="31" t="s">
        <v>25</v>
      </c>
      <c r="D67" s="31" t="n">
        <v>2005</v>
      </c>
      <c r="E67" s="31" t="s">
        <v>480</v>
      </c>
      <c r="F67" s="31" t="s">
        <v>481</v>
      </c>
      <c r="G67" s="31" t="n">
        <v>5.9</v>
      </c>
      <c r="H67" s="31" t="n">
        <v>127</v>
      </c>
      <c r="I67" s="31" t="s">
        <v>48</v>
      </c>
      <c r="J67" s="31" t="s">
        <v>181</v>
      </c>
      <c r="K67" s="31" t="s">
        <v>131</v>
      </c>
    </row>
    <row r="68" customFormat="false" ht="15" hidden="false" customHeight="false" outlineLevel="0" collapsed="false">
      <c r="A68" s="31" t="s">
        <v>183</v>
      </c>
      <c r="B68" s="31" t="s">
        <v>47</v>
      </c>
      <c r="C68" s="31" t="s">
        <v>46</v>
      </c>
      <c r="D68" s="31" t="n">
        <v>2005</v>
      </c>
      <c r="E68" s="31" t="s">
        <v>482</v>
      </c>
      <c r="F68" s="31" t="s">
        <v>483</v>
      </c>
      <c r="G68" s="31" t="n">
        <v>7.8</v>
      </c>
      <c r="H68" s="31" t="n">
        <v>95</v>
      </c>
      <c r="I68" s="31" t="s">
        <v>42</v>
      </c>
      <c r="J68" s="31" t="s">
        <v>139</v>
      </c>
      <c r="K68" s="31" t="s">
        <v>184</v>
      </c>
    </row>
    <row r="69" customFormat="false" ht="15" hidden="false" customHeight="false" outlineLevel="0" collapsed="false">
      <c r="A69" s="31" t="s">
        <v>256</v>
      </c>
      <c r="B69" s="31" t="s">
        <v>41</v>
      </c>
      <c r="C69" s="31" t="s">
        <v>57</v>
      </c>
      <c r="D69" s="31" t="n">
        <v>2013</v>
      </c>
      <c r="E69" s="31" t="s">
        <v>484</v>
      </c>
      <c r="F69" s="31" t="s">
        <v>485</v>
      </c>
      <c r="G69" s="32"/>
      <c r="H69" s="31" t="n">
        <v>121</v>
      </c>
      <c r="I69" s="31" t="s">
        <v>33</v>
      </c>
      <c r="J69" s="31" t="s">
        <v>106</v>
      </c>
      <c r="K69" s="31" t="s">
        <v>461</v>
      </c>
    </row>
    <row r="70" customFormat="false" ht="15" hidden="false" customHeight="false" outlineLevel="0" collapsed="false">
      <c r="A70" s="31" t="s">
        <v>308</v>
      </c>
      <c r="B70" s="31" t="s">
        <v>53</v>
      </c>
      <c r="C70" s="31" t="s">
        <v>62</v>
      </c>
      <c r="D70" s="31" t="n">
        <v>2019</v>
      </c>
      <c r="E70" s="31" t="s">
        <v>486</v>
      </c>
      <c r="F70" s="31" t="s">
        <v>487</v>
      </c>
      <c r="G70" s="31" t="n">
        <v>6.5</v>
      </c>
      <c r="H70" s="31" t="n">
        <v>101</v>
      </c>
      <c r="I70" s="31" t="s">
        <v>42</v>
      </c>
      <c r="J70" s="31" t="s">
        <v>121</v>
      </c>
      <c r="K70" s="31" t="s">
        <v>107</v>
      </c>
    </row>
    <row r="71" customFormat="false" ht="15" hidden="false" customHeight="false" outlineLevel="0" collapsed="false">
      <c r="A71" s="31" t="s">
        <v>208</v>
      </c>
      <c r="B71" s="31" t="s">
        <v>20</v>
      </c>
      <c r="C71" s="31" t="s">
        <v>37</v>
      </c>
      <c r="D71" s="31" t="n">
        <v>2008</v>
      </c>
      <c r="E71" s="31" t="s">
        <v>488</v>
      </c>
      <c r="F71" s="31" t="s">
        <v>489</v>
      </c>
      <c r="G71" s="31" t="n">
        <v>4.8</v>
      </c>
      <c r="H71" s="31" t="n">
        <v>113</v>
      </c>
      <c r="I71" s="31" t="s">
        <v>42</v>
      </c>
      <c r="J71" s="31" t="s">
        <v>152</v>
      </c>
      <c r="K71" s="31" t="s">
        <v>109</v>
      </c>
    </row>
    <row r="72" customFormat="false" ht="15" hidden="false" customHeight="false" outlineLevel="0" collapsed="false">
      <c r="A72" s="31" t="s">
        <v>330</v>
      </c>
      <c r="B72" s="31" t="s">
        <v>490</v>
      </c>
      <c r="C72" s="31" t="s">
        <v>54</v>
      </c>
      <c r="D72" s="31" t="n">
        <v>2021</v>
      </c>
      <c r="E72" s="31" t="s">
        <v>491</v>
      </c>
      <c r="F72" s="31" t="s">
        <v>492</v>
      </c>
      <c r="G72" s="31" t="n">
        <v>6.9</v>
      </c>
      <c r="H72" s="31" t="n">
        <v>103</v>
      </c>
      <c r="I72" s="31" t="s">
        <v>39</v>
      </c>
      <c r="J72" s="31" t="s">
        <v>152</v>
      </c>
      <c r="K72" s="31" t="s">
        <v>131</v>
      </c>
    </row>
    <row r="73" customFormat="false" ht="15" hidden="false" customHeight="false" outlineLevel="0" collapsed="false">
      <c r="A73" s="31" t="s">
        <v>321</v>
      </c>
      <c r="B73" s="31" t="s">
        <v>458</v>
      </c>
      <c r="C73" s="31" t="s">
        <v>43</v>
      </c>
      <c r="D73" s="31" t="n">
        <v>2021</v>
      </c>
      <c r="E73" s="31" t="s">
        <v>493</v>
      </c>
      <c r="F73" s="31" t="s">
        <v>494</v>
      </c>
      <c r="G73" s="31" t="n">
        <v>5.5</v>
      </c>
      <c r="H73" s="31" t="n">
        <v>84</v>
      </c>
      <c r="I73" s="31" t="s">
        <v>27</v>
      </c>
      <c r="J73" s="31" t="s">
        <v>144</v>
      </c>
      <c r="K73" s="31" t="s">
        <v>119</v>
      </c>
    </row>
    <row r="74" customFormat="false" ht="15" hidden="false" customHeight="false" outlineLevel="0" collapsed="false">
      <c r="A74" s="31" t="s">
        <v>151</v>
      </c>
      <c r="B74" s="31" t="s">
        <v>41</v>
      </c>
      <c r="C74" s="31" t="s">
        <v>34</v>
      </c>
      <c r="D74" s="31" t="n">
        <v>2002</v>
      </c>
      <c r="E74" s="31" t="s">
        <v>495</v>
      </c>
      <c r="F74" s="31" t="s">
        <v>496</v>
      </c>
      <c r="G74" s="31" t="n">
        <v>6.6</v>
      </c>
      <c r="H74" s="31" t="n">
        <v>133</v>
      </c>
      <c r="I74" s="31" t="s">
        <v>30</v>
      </c>
      <c r="J74" s="31" t="s">
        <v>152</v>
      </c>
      <c r="K74" s="31" t="s">
        <v>128</v>
      </c>
    </row>
    <row r="75" customFormat="false" ht="15" hidden="false" customHeight="false" outlineLevel="0" collapsed="false">
      <c r="A75" s="31" t="s">
        <v>317</v>
      </c>
      <c r="B75" s="31" t="s">
        <v>20</v>
      </c>
      <c r="C75" s="31" t="s">
        <v>63</v>
      </c>
      <c r="D75" s="31" t="n">
        <v>2020</v>
      </c>
      <c r="E75" s="31" t="s">
        <v>497</v>
      </c>
      <c r="F75" s="31" t="s">
        <v>498</v>
      </c>
      <c r="G75" s="31" t="n">
        <v>6.3</v>
      </c>
      <c r="H75" s="31" t="n">
        <v>118</v>
      </c>
      <c r="I75" s="31" t="s">
        <v>48</v>
      </c>
      <c r="J75" s="31" t="s">
        <v>152</v>
      </c>
      <c r="K75" s="32"/>
    </row>
    <row r="76" customFormat="false" ht="15" hidden="false" customHeight="false" outlineLevel="0" collapsed="false">
      <c r="A76" s="31" t="s">
        <v>192</v>
      </c>
      <c r="B76" s="31" t="s">
        <v>35</v>
      </c>
      <c r="C76" s="31" t="s">
        <v>66</v>
      </c>
      <c r="D76" s="31" t="n">
        <v>2006</v>
      </c>
      <c r="E76" s="31" t="s">
        <v>499</v>
      </c>
      <c r="F76" s="31" t="s">
        <v>500</v>
      </c>
      <c r="G76" s="31" t="n">
        <v>4.8</v>
      </c>
      <c r="H76" s="31" t="n">
        <v>102</v>
      </c>
      <c r="I76" s="31" t="s">
        <v>30</v>
      </c>
      <c r="J76" s="32"/>
      <c r="K76" s="31" t="s">
        <v>146</v>
      </c>
    </row>
    <row r="77" customFormat="false" ht="15" hidden="false" customHeight="false" outlineLevel="0" collapsed="false">
      <c r="A77" s="31" t="s">
        <v>202</v>
      </c>
      <c r="B77" s="31" t="s">
        <v>50</v>
      </c>
      <c r="C77" s="31" t="s">
        <v>57</v>
      </c>
      <c r="D77" s="31" t="n">
        <v>2007</v>
      </c>
      <c r="E77" s="31" t="s">
        <v>501</v>
      </c>
      <c r="F77" s="31" t="s">
        <v>502</v>
      </c>
      <c r="G77" s="31" t="n">
        <v>5.8</v>
      </c>
      <c r="H77" s="31" t="n">
        <v>90</v>
      </c>
      <c r="I77" s="31" t="s">
        <v>45</v>
      </c>
      <c r="J77" s="31" t="s">
        <v>103</v>
      </c>
      <c r="K77" s="31" t="s">
        <v>107</v>
      </c>
    </row>
    <row r="78" customFormat="false" ht="15" hidden="false" customHeight="false" outlineLevel="0" collapsed="false">
      <c r="A78" s="31" t="s">
        <v>242</v>
      </c>
      <c r="B78" s="31" t="s">
        <v>50</v>
      </c>
      <c r="C78" s="31" t="s">
        <v>61</v>
      </c>
      <c r="D78" s="31" t="n">
        <v>2011</v>
      </c>
      <c r="E78" s="31" t="s">
        <v>503</v>
      </c>
      <c r="F78" s="31" t="s">
        <v>504</v>
      </c>
      <c r="G78" s="31" t="n">
        <v>7.6</v>
      </c>
      <c r="H78" s="31" t="n">
        <v>100</v>
      </c>
      <c r="I78" s="31" t="s">
        <v>36</v>
      </c>
      <c r="J78" s="31" t="s">
        <v>103</v>
      </c>
      <c r="K78" s="31" t="s">
        <v>136</v>
      </c>
    </row>
    <row r="79" customFormat="false" ht="15" hidden="false" customHeight="false" outlineLevel="0" collapsed="false">
      <c r="A79" s="31" t="s">
        <v>282</v>
      </c>
      <c r="B79" s="31" t="s">
        <v>23</v>
      </c>
      <c r="C79" s="31" t="s">
        <v>56</v>
      </c>
      <c r="D79" s="31" t="n">
        <v>2016</v>
      </c>
      <c r="E79" s="31" t="s">
        <v>456</v>
      </c>
      <c r="F79" s="31" t="s">
        <v>457</v>
      </c>
      <c r="G79" s="31" t="n">
        <v>5.3</v>
      </c>
      <c r="H79" s="31" t="n">
        <v>88</v>
      </c>
      <c r="I79" s="31" t="s">
        <v>39</v>
      </c>
      <c r="J79" s="31" t="s">
        <v>181</v>
      </c>
      <c r="K79" s="31" t="s">
        <v>184</v>
      </c>
    </row>
    <row r="80" customFormat="false" ht="15" hidden="false" customHeight="false" outlineLevel="0" collapsed="false">
      <c r="A80" s="31" t="s">
        <v>105</v>
      </c>
      <c r="B80" s="31" t="s">
        <v>44</v>
      </c>
      <c r="C80" s="31" t="s">
        <v>31</v>
      </c>
      <c r="D80" s="31" t="n">
        <v>2000</v>
      </c>
      <c r="E80" s="31" t="s">
        <v>505</v>
      </c>
      <c r="F80" s="31" t="s">
        <v>506</v>
      </c>
      <c r="G80" s="31" t="n">
        <v>5.7</v>
      </c>
      <c r="H80" s="31" t="n">
        <v>116</v>
      </c>
      <c r="I80" s="31" t="s">
        <v>33</v>
      </c>
      <c r="J80" s="31" t="s">
        <v>106</v>
      </c>
      <c r="K80" s="31" t="s">
        <v>107</v>
      </c>
    </row>
    <row r="81" customFormat="false" ht="15" hidden="false" customHeight="false" outlineLevel="0" collapsed="false">
      <c r="A81" s="31" t="s">
        <v>331</v>
      </c>
      <c r="B81" s="31" t="s">
        <v>35</v>
      </c>
      <c r="C81" s="31" t="s">
        <v>37</v>
      </c>
      <c r="D81" s="31" t="n">
        <v>2021</v>
      </c>
      <c r="E81" s="31" t="s">
        <v>507</v>
      </c>
      <c r="F81" s="31" t="s">
        <v>508</v>
      </c>
      <c r="G81" s="31" t="n">
        <v>8.9</v>
      </c>
      <c r="H81" s="31" t="n">
        <v>124</v>
      </c>
      <c r="I81" s="31" t="s">
        <v>24</v>
      </c>
      <c r="J81" s="31" t="s">
        <v>144</v>
      </c>
      <c r="K81" s="31" t="s">
        <v>131</v>
      </c>
    </row>
    <row r="82" customFormat="false" ht="15" hidden="false" customHeight="false" outlineLevel="0" collapsed="false">
      <c r="A82" s="31" t="s">
        <v>246</v>
      </c>
      <c r="B82" s="31" t="s">
        <v>41</v>
      </c>
      <c r="C82" s="31" t="s">
        <v>63</v>
      </c>
      <c r="D82" s="31" t="n">
        <v>2012</v>
      </c>
      <c r="E82" s="31" t="s">
        <v>509</v>
      </c>
      <c r="F82" s="31" t="s">
        <v>510</v>
      </c>
      <c r="G82" s="31" t="n">
        <v>6.7</v>
      </c>
      <c r="H82" s="31" t="n">
        <v>92</v>
      </c>
      <c r="I82" s="31" t="s">
        <v>39</v>
      </c>
      <c r="J82" s="31" t="s">
        <v>139</v>
      </c>
      <c r="K82" s="31" t="s">
        <v>109</v>
      </c>
    </row>
    <row r="83" customFormat="false" ht="15" hidden="false" customHeight="false" outlineLevel="0" collapsed="false">
      <c r="A83" s="31" t="s">
        <v>143</v>
      </c>
      <c r="B83" s="31" t="s">
        <v>20</v>
      </c>
      <c r="C83" s="31" t="s">
        <v>61</v>
      </c>
      <c r="D83" s="31" t="n">
        <v>2002</v>
      </c>
      <c r="E83" s="31" t="s">
        <v>511</v>
      </c>
      <c r="F83" s="31" t="s">
        <v>512</v>
      </c>
      <c r="G83" s="31" t="n">
        <v>5.1</v>
      </c>
      <c r="H83" s="31" t="n">
        <v>85</v>
      </c>
      <c r="I83" s="31" t="s">
        <v>30</v>
      </c>
      <c r="J83" s="31" t="s">
        <v>144</v>
      </c>
      <c r="K83" s="31" t="s">
        <v>136</v>
      </c>
    </row>
    <row r="84" customFormat="false" ht="15" hidden="false" customHeight="false" outlineLevel="0" collapsed="false">
      <c r="A84" s="31" t="s">
        <v>212</v>
      </c>
      <c r="B84" s="31" t="s">
        <v>32</v>
      </c>
      <c r="C84" s="31" t="s">
        <v>59</v>
      </c>
      <c r="D84" s="31" t="n">
        <v>2008</v>
      </c>
      <c r="E84" s="31" t="s">
        <v>513</v>
      </c>
      <c r="F84" s="31" t="s">
        <v>514</v>
      </c>
      <c r="G84" s="31" t="n">
        <v>6.4</v>
      </c>
      <c r="H84" s="31" t="n">
        <v>120</v>
      </c>
      <c r="I84" s="31" t="s">
        <v>33</v>
      </c>
      <c r="J84" s="31" t="s">
        <v>125</v>
      </c>
      <c r="K84" s="32"/>
    </row>
    <row r="85" customFormat="false" ht="15" hidden="false" customHeight="false" outlineLevel="0" collapsed="false">
      <c r="A85" s="31" t="s">
        <v>328</v>
      </c>
      <c r="B85" s="31" t="s">
        <v>38</v>
      </c>
      <c r="C85" s="31" t="s">
        <v>55</v>
      </c>
      <c r="D85" s="31" t="n">
        <v>2021</v>
      </c>
      <c r="E85" s="31" t="s">
        <v>515</v>
      </c>
      <c r="F85" s="31" t="s">
        <v>516</v>
      </c>
      <c r="G85" s="31" t="n">
        <v>8.2</v>
      </c>
      <c r="H85" s="31" t="n">
        <v>113</v>
      </c>
      <c r="I85" s="31" t="s">
        <v>45</v>
      </c>
      <c r="J85" s="31" t="s">
        <v>148</v>
      </c>
      <c r="K85" s="31" t="s">
        <v>131</v>
      </c>
    </row>
    <row r="86" customFormat="false" ht="15" hidden="false" customHeight="false" outlineLevel="0" collapsed="false">
      <c r="A86" s="31" t="s">
        <v>517</v>
      </c>
      <c r="B86" s="31" t="s">
        <v>26</v>
      </c>
      <c r="C86" s="31" t="s">
        <v>25</v>
      </c>
      <c r="D86" s="31" t="n">
        <v>2022</v>
      </c>
      <c r="E86" s="31" t="s">
        <v>518</v>
      </c>
      <c r="F86" s="31" t="s">
        <v>519</v>
      </c>
      <c r="G86" s="31" t="n">
        <v>5.8</v>
      </c>
      <c r="H86" s="31" t="n">
        <v>100</v>
      </c>
      <c r="I86" s="31" t="s">
        <v>42</v>
      </c>
      <c r="J86" s="31" t="s">
        <v>170</v>
      </c>
      <c r="K86" s="31" t="s">
        <v>128</v>
      </c>
    </row>
    <row r="87" customFormat="false" ht="15" hidden="false" customHeight="false" outlineLevel="0" collapsed="false">
      <c r="A87" s="31" t="s">
        <v>115</v>
      </c>
      <c r="B87" s="31" t="s">
        <v>50</v>
      </c>
      <c r="C87" s="32"/>
      <c r="D87" s="31" t="n">
        <v>2000</v>
      </c>
      <c r="E87" s="32"/>
      <c r="F87" s="31" t="s">
        <v>520</v>
      </c>
      <c r="G87" s="31" t="n">
        <v>7.1</v>
      </c>
      <c r="H87" s="31" t="n">
        <v>122</v>
      </c>
      <c r="I87" s="31" t="s">
        <v>36</v>
      </c>
      <c r="J87" s="31" t="s">
        <v>116</v>
      </c>
      <c r="K87" s="31" t="s">
        <v>107</v>
      </c>
    </row>
    <row r="88" customFormat="false" ht="15" hidden="false" customHeight="false" outlineLevel="0" collapsed="false">
      <c r="A88" s="31" t="s">
        <v>253</v>
      </c>
      <c r="B88" s="31" t="s">
        <v>29</v>
      </c>
      <c r="C88" s="31" t="s">
        <v>46</v>
      </c>
      <c r="D88" s="31" t="n">
        <v>2013</v>
      </c>
      <c r="E88" s="31" t="s">
        <v>521</v>
      </c>
      <c r="F88" s="31" t="s">
        <v>522</v>
      </c>
      <c r="G88" s="31" t="n">
        <v>7</v>
      </c>
      <c r="H88" s="31" t="n">
        <v>116</v>
      </c>
      <c r="I88" s="31" t="s">
        <v>21</v>
      </c>
      <c r="J88" s="31" t="s">
        <v>116</v>
      </c>
      <c r="K88" s="31" t="s">
        <v>131</v>
      </c>
    </row>
    <row r="89" customFormat="false" ht="15" hidden="false" customHeight="false" outlineLevel="0" collapsed="false">
      <c r="A89" s="31" t="s">
        <v>281</v>
      </c>
      <c r="B89" s="31" t="s">
        <v>32</v>
      </c>
      <c r="C89" s="31" t="s">
        <v>63</v>
      </c>
      <c r="D89" s="31" t="n">
        <v>2016</v>
      </c>
      <c r="E89" s="31" t="s">
        <v>447</v>
      </c>
      <c r="F89" s="31" t="s">
        <v>448</v>
      </c>
      <c r="G89" s="31" t="n">
        <v>8.3</v>
      </c>
      <c r="H89" s="32"/>
      <c r="I89" s="31" t="s">
        <v>48</v>
      </c>
      <c r="J89" s="31" t="s">
        <v>154</v>
      </c>
      <c r="K89" s="31" t="s">
        <v>136</v>
      </c>
    </row>
    <row r="90" customFormat="false" ht="15" hidden="false" customHeight="false" outlineLevel="0" collapsed="false">
      <c r="A90" s="31" t="s">
        <v>304</v>
      </c>
      <c r="B90" s="31" t="s">
        <v>50</v>
      </c>
      <c r="C90" s="32"/>
      <c r="D90" s="31" t="n">
        <v>2019</v>
      </c>
      <c r="E90" s="31" t="s">
        <v>523</v>
      </c>
      <c r="F90" s="31" t="s">
        <v>524</v>
      </c>
      <c r="G90" s="31" t="n">
        <v>7.5</v>
      </c>
      <c r="H90" s="31" t="n">
        <v>108</v>
      </c>
      <c r="I90" s="31" t="s">
        <v>24</v>
      </c>
      <c r="J90" s="31" t="s">
        <v>170</v>
      </c>
      <c r="K90" s="31" t="s">
        <v>119</v>
      </c>
    </row>
    <row r="91" customFormat="false" ht="15" hidden="false" customHeight="false" outlineLevel="0" collapsed="false">
      <c r="A91" s="31" t="s">
        <v>221</v>
      </c>
      <c r="B91" s="31" t="s">
        <v>41</v>
      </c>
      <c r="C91" s="31" t="s">
        <v>31</v>
      </c>
      <c r="D91" s="31" t="n">
        <v>2009</v>
      </c>
      <c r="E91" s="31" t="s">
        <v>525</v>
      </c>
      <c r="F91" s="31" t="s">
        <v>526</v>
      </c>
      <c r="G91" s="31" t="n">
        <v>8.1</v>
      </c>
      <c r="H91" s="31" t="n">
        <v>100</v>
      </c>
      <c r="I91" s="31" t="s">
        <v>39</v>
      </c>
      <c r="J91" s="31" t="s">
        <v>139</v>
      </c>
      <c r="K91" s="31" t="s">
        <v>104</v>
      </c>
    </row>
    <row r="92" customFormat="false" ht="15" hidden="false" customHeight="false" outlineLevel="0" collapsed="false">
      <c r="A92" s="31" t="s">
        <v>286</v>
      </c>
      <c r="B92" s="31" t="s">
        <v>20</v>
      </c>
      <c r="C92" s="31" t="s">
        <v>57</v>
      </c>
      <c r="D92" s="31" t="n">
        <v>2017</v>
      </c>
      <c r="E92" s="31" t="s">
        <v>527</v>
      </c>
      <c r="F92" s="31" t="s">
        <v>528</v>
      </c>
      <c r="G92" s="31" t="n">
        <v>6.9</v>
      </c>
      <c r="H92" s="31" t="n">
        <v>149</v>
      </c>
      <c r="I92" s="31" t="s">
        <v>24</v>
      </c>
      <c r="J92" s="31" t="s">
        <v>148</v>
      </c>
      <c r="K92" s="31" t="s">
        <v>109</v>
      </c>
    </row>
    <row r="93" customFormat="false" ht="15" hidden="false" customHeight="false" outlineLevel="0" collapsed="false">
      <c r="A93" s="31" t="s">
        <v>529</v>
      </c>
      <c r="B93" s="31" t="s">
        <v>29</v>
      </c>
      <c r="C93" s="31" t="s">
        <v>60</v>
      </c>
      <c r="D93" s="31" t="n">
        <v>2011</v>
      </c>
      <c r="E93" s="31" t="s">
        <v>530</v>
      </c>
      <c r="F93" s="31" t="s">
        <v>531</v>
      </c>
      <c r="G93" s="31" t="n">
        <v>7.6</v>
      </c>
      <c r="H93" s="31" t="n">
        <v>101</v>
      </c>
      <c r="I93" s="31" t="s">
        <v>36</v>
      </c>
      <c r="J93" s="31" t="s">
        <v>116</v>
      </c>
      <c r="K93" s="31" t="s">
        <v>131</v>
      </c>
    </row>
    <row r="94" customFormat="false" ht="15" hidden="false" customHeight="false" outlineLevel="0" collapsed="false">
      <c r="A94" s="31" t="s">
        <v>347</v>
      </c>
      <c r="B94" s="31" t="s">
        <v>53</v>
      </c>
      <c r="C94" s="31" t="s">
        <v>65</v>
      </c>
      <c r="D94" s="31" t="n">
        <v>2024</v>
      </c>
      <c r="E94" s="31" t="s">
        <v>532</v>
      </c>
      <c r="F94" s="31" t="s">
        <v>533</v>
      </c>
      <c r="G94" s="31" t="n">
        <v>5.8</v>
      </c>
      <c r="H94" s="31" t="n">
        <v>94</v>
      </c>
      <c r="I94" s="31" t="s">
        <v>48</v>
      </c>
      <c r="J94" s="31" t="s">
        <v>118</v>
      </c>
      <c r="K94" s="31" t="s">
        <v>146</v>
      </c>
    </row>
    <row r="95" customFormat="false" ht="15" hidden="false" customHeight="false" outlineLevel="0" collapsed="false">
      <c r="A95" s="31" t="s">
        <v>147</v>
      </c>
      <c r="B95" s="31" t="s">
        <v>534</v>
      </c>
      <c r="C95" s="31" t="s">
        <v>37</v>
      </c>
      <c r="D95" s="31" t="n">
        <v>2002</v>
      </c>
      <c r="E95" s="31" t="s">
        <v>535</v>
      </c>
      <c r="F95" s="31" t="s">
        <v>536</v>
      </c>
      <c r="G95" s="31" t="n">
        <v>7.2</v>
      </c>
      <c r="H95" s="31" t="n">
        <v>80</v>
      </c>
      <c r="I95" s="31" t="s">
        <v>27</v>
      </c>
      <c r="J95" s="31" t="s">
        <v>148</v>
      </c>
      <c r="K95" s="31" t="s">
        <v>114</v>
      </c>
    </row>
    <row r="96" customFormat="false" ht="15" hidden="false" customHeight="false" outlineLevel="0" collapsed="false">
      <c r="A96" s="31" t="s">
        <v>174</v>
      </c>
      <c r="B96" s="31" t="s">
        <v>53</v>
      </c>
      <c r="C96" s="31" t="s">
        <v>40</v>
      </c>
      <c r="D96" s="31" t="n">
        <v>2004</v>
      </c>
      <c r="E96" s="31" t="s">
        <v>537</v>
      </c>
      <c r="F96" s="31" t="s">
        <v>538</v>
      </c>
      <c r="G96" s="31" t="n">
        <v>8.5</v>
      </c>
      <c r="H96" s="31" t="n">
        <v>134</v>
      </c>
      <c r="I96" s="31" t="s">
        <v>21</v>
      </c>
      <c r="J96" s="31" t="s">
        <v>139</v>
      </c>
      <c r="K96" s="31" t="s">
        <v>128</v>
      </c>
    </row>
    <row r="97" customFormat="false" ht="15" hidden="false" customHeight="false" outlineLevel="0" collapsed="false">
      <c r="A97" s="31" t="s">
        <v>327</v>
      </c>
      <c r="B97" s="31" t="s">
        <v>44</v>
      </c>
      <c r="C97" s="31" t="s">
        <v>52</v>
      </c>
      <c r="D97" s="31" t="n">
        <v>2021</v>
      </c>
      <c r="E97" s="31" t="s">
        <v>539</v>
      </c>
      <c r="F97" s="31" t="s">
        <v>540</v>
      </c>
      <c r="G97" s="31" t="n">
        <v>6.8</v>
      </c>
      <c r="H97" s="31" t="n">
        <v>118</v>
      </c>
      <c r="I97" s="31" t="s">
        <v>27</v>
      </c>
      <c r="J97" s="31" t="s">
        <v>121</v>
      </c>
      <c r="K97" s="31" t="s">
        <v>114</v>
      </c>
    </row>
    <row r="98" customFormat="false" ht="15" hidden="false" customHeight="false" outlineLevel="0" collapsed="false">
      <c r="A98" s="31" t="s">
        <v>280</v>
      </c>
      <c r="B98" s="31" t="s">
        <v>53</v>
      </c>
      <c r="C98" s="31" t="s">
        <v>61</v>
      </c>
      <c r="D98" s="31" t="n">
        <v>2016</v>
      </c>
      <c r="E98" s="31" t="s">
        <v>541</v>
      </c>
      <c r="F98" s="31" t="s">
        <v>542</v>
      </c>
      <c r="G98" s="31" t="n">
        <v>9.2</v>
      </c>
      <c r="H98" s="31" t="n">
        <v>114</v>
      </c>
      <c r="I98" s="31" t="s">
        <v>39</v>
      </c>
      <c r="J98" s="31" t="s">
        <v>125</v>
      </c>
      <c r="K98" s="31" t="s">
        <v>146</v>
      </c>
    </row>
    <row r="99" customFormat="false" ht="15" hidden="false" customHeight="false" outlineLevel="0" collapsed="false">
      <c r="A99" s="31" t="s">
        <v>344</v>
      </c>
      <c r="B99" s="31" t="s">
        <v>29</v>
      </c>
      <c r="C99" s="31" t="s">
        <v>76</v>
      </c>
      <c r="D99" s="31" t="n">
        <v>2024</v>
      </c>
      <c r="E99" s="31" t="s">
        <v>543</v>
      </c>
      <c r="F99" s="31" t="s">
        <v>544</v>
      </c>
      <c r="G99" s="31" t="n">
        <v>5.5</v>
      </c>
      <c r="H99" s="31" t="n">
        <v>121</v>
      </c>
      <c r="I99" s="31" t="s">
        <v>42</v>
      </c>
      <c r="J99" s="31" t="s">
        <v>181</v>
      </c>
      <c r="K99" s="31" t="s">
        <v>128</v>
      </c>
    </row>
    <row r="100" customFormat="false" ht="15" hidden="false" customHeight="false" outlineLevel="0" collapsed="false">
      <c r="A100" s="31" t="s">
        <v>203</v>
      </c>
      <c r="B100" s="31" t="s">
        <v>32</v>
      </c>
      <c r="C100" s="31" t="s">
        <v>58</v>
      </c>
      <c r="D100" s="31" t="n">
        <v>2007</v>
      </c>
      <c r="E100" s="32"/>
      <c r="F100" s="31" t="s">
        <v>545</v>
      </c>
      <c r="G100" s="31" t="n">
        <v>6.1</v>
      </c>
      <c r="H100" s="31" t="n">
        <v>135</v>
      </c>
      <c r="I100" s="31" t="s">
        <v>27</v>
      </c>
      <c r="J100" s="31" t="s">
        <v>118</v>
      </c>
      <c r="K100" s="31" t="s">
        <v>119</v>
      </c>
    </row>
    <row r="101" customFormat="false" ht="15" hidden="false" customHeight="false" outlineLevel="0" collapsed="false">
      <c r="A101" s="31" t="s">
        <v>209</v>
      </c>
      <c r="B101" s="31" t="s">
        <v>23</v>
      </c>
      <c r="C101" s="31" t="s">
        <v>60</v>
      </c>
      <c r="D101" s="31" t="n">
        <v>2008</v>
      </c>
      <c r="E101" s="31" t="s">
        <v>546</v>
      </c>
      <c r="F101" s="31" t="s">
        <v>547</v>
      </c>
      <c r="G101" s="31" t="n">
        <v>6.6</v>
      </c>
      <c r="H101" s="31" t="n">
        <v>102</v>
      </c>
      <c r="I101" s="31" t="s">
        <v>24</v>
      </c>
      <c r="J101" s="31" t="s">
        <v>125</v>
      </c>
      <c r="K101" s="31" t="s">
        <v>104</v>
      </c>
    </row>
    <row r="102" customFormat="false" ht="15" hidden="false" customHeight="false" outlineLevel="0" collapsed="false">
      <c r="A102" s="31" t="s">
        <v>548</v>
      </c>
      <c r="B102" s="31" t="s">
        <v>26</v>
      </c>
      <c r="C102" s="31" t="s">
        <v>77</v>
      </c>
      <c r="D102" s="31" t="n">
        <v>2018</v>
      </c>
      <c r="E102" s="31" t="s">
        <v>549</v>
      </c>
      <c r="F102" s="31" t="s">
        <v>550</v>
      </c>
      <c r="G102" s="31" t="n">
        <v>6.6</v>
      </c>
      <c r="H102" s="31" t="n">
        <v>127</v>
      </c>
      <c r="I102" s="31" t="s">
        <v>24</v>
      </c>
      <c r="J102" s="31" t="s">
        <v>113</v>
      </c>
      <c r="K102" s="31" t="s">
        <v>114</v>
      </c>
    </row>
    <row r="103" customFormat="false" ht="15" hidden="false" customHeight="false" outlineLevel="0" collapsed="false">
      <c r="A103" s="31" t="s">
        <v>341</v>
      </c>
      <c r="B103" s="31" t="s">
        <v>20</v>
      </c>
      <c r="C103" s="31" t="s">
        <v>25</v>
      </c>
      <c r="D103" s="31" t="n">
        <v>2023</v>
      </c>
      <c r="E103" s="31" t="s">
        <v>551</v>
      </c>
      <c r="F103" s="31" t="s">
        <v>552</v>
      </c>
      <c r="G103" s="31" t="n">
        <v>6.6</v>
      </c>
      <c r="H103" s="31" t="n">
        <v>89</v>
      </c>
      <c r="I103" s="31" t="s">
        <v>27</v>
      </c>
      <c r="J103" s="31" t="s">
        <v>111</v>
      </c>
      <c r="K103" s="31" t="s">
        <v>119</v>
      </c>
    </row>
    <row r="104" customFormat="false" ht="15" hidden="false" customHeight="false" outlineLevel="0" collapsed="false">
      <c r="A104" s="31" t="s">
        <v>296</v>
      </c>
      <c r="B104" s="31" t="s">
        <v>23</v>
      </c>
      <c r="C104" s="31" t="s">
        <v>49</v>
      </c>
      <c r="D104" s="31" t="n">
        <v>2018</v>
      </c>
      <c r="E104" s="31" t="s">
        <v>553</v>
      </c>
      <c r="F104" s="31" t="s">
        <v>554</v>
      </c>
      <c r="G104" s="31" t="n">
        <v>7.2</v>
      </c>
      <c r="H104" s="31" t="n">
        <v>78</v>
      </c>
      <c r="I104" s="31" t="s">
        <v>39</v>
      </c>
      <c r="J104" s="31" t="s">
        <v>121</v>
      </c>
      <c r="K104" s="31" t="s">
        <v>122</v>
      </c>
    </row>
    <row r="105" customFormat="false" ht="15" hidden="false" customHeight="false" outlineLevel="0" collapsed="false">
      <c r="A105" s="31" t="s">
        <v>263</v>
      </c>
      <c r="B105" s="31" t="s">
        <v>20</v>
      </c>
      <c r="C105" s="31" t="s">
        <v>54</v>
      </c>
      <c r="D105" s="31" t="n">
        <v>2014</v>
      </c>
      <c r="E105" s="31" t="s">
        <v>555</v>
      </c>
      <c r="F105" s="31" t="s">
        <v>556</v>
      </c>
      <c r="G105" s="31" t="n">
        <v>6.6</v>
      </c>
      <c r="H105" s="31" t="n">
        <v>83</v>
      </c>
      <c r="I105" s="31" t="s">
        <v>33</v>
      </c>
      <c r="J105" s="31" t="s">
        <v>111</v>
      </c>
      <c r="K105" s="31" t="s">
        <v>128</v>
      </c>
    </row>
    <row r="106" customFormat="false" ht="15" hidden="false" customHeight="false" outlineLevel="0" collapsed="false">
      <c r="A106" s="31" t="s">
        <v>342</v>
      </c>
      <c r="B106" s="31" t="s">
        <v>32</v>
      </c>
      <c r="C106" s="31" t="s">
        <v>59</v>
      </c>
      <c r="D106" s="31" t="n">
        <v>2023</v>
      </c>
      <c r="E106" s="31" t="s">
        <v>557</v>
      </c>
      <c r="F106" s="31" t="s">
        <v>558</v>
      </c>
      <c r="G106" s="31" t="n">
        <v>6.9</v>
      </c>
      <c r="H106" s="31" t="n">
        <v>142</v>
      </c>
      <c r="I106" s="31" t="s">
        <v>39</v>
      </c>
      <c r="J106" s="31" t="s">
        <v>170</v>
      </c>
      <c r="K106" s="31" t="s">
        <v>184</v>
      </c>
    </row>
    <row r="107" customFormat="false" ht="15" hidden="false" customHeight="false" outlineLevel="0" collapsed="false">
      <c r="A107" s="31" t="s">
        <v>294</v>
      </c>
      <c r="B107" s="31" t="s">
        <v>53</v>
      </c>
      <c r="C107" s="31" t="s">
        <v>46</v>
      </c>
      <c r="D107" s="31" t="n">
        <v>2018</v>
      </c>
      <c r="E107" s="31" t="s">
        <v>559</v>
      </c>
      <c r="F107" s="31" t="s">
        <v>560</v>
      </c>
      <c r="G107" s="31" t="n">
        <v>7.3</v>
      </c>
      <c r="H107" s="31" t="n">
        <v>89</v>
      </c>
      <c r="I107" s="31" t="s">
        <v>45</v>
      </c>
      <c r="J107" s="31" t="s">
        <v>144</v>
      </c>
      <c r="K107" s="32"/>
    </row>
    <row r="108" customFormat="false" ht="15" hidden="false" customHeight="false" outlineLevel="0" collapsed="false">
      <c r="A108" s="31" t="s">
        <v>201</v>
      </c>
      <c r="B108" s="31" t="s">
        <v>26</v>
      </c>
      <c r="C108" s="31" t="s">
        <v>28</v>
      </c>
      <c r="D108" s="31" t="n">
        <v>2007</v>
      </c>
      <c r="E108" s="31" t="s">
        <v>561</v>
      </c>
      <c r="F108" s="31" t="s">
        <v>562</v>
      </c>
      <c r="G108" s="31" t="n">
        <v>7.5</v>
      </c>
      <c r="H108" s="31" t="n">
        <v>139</v>
      </c>
      <c r="I108" s="31" t="s">
        <v>45</v>
      </c>
      <c r="J108" s="31" t="s">
        <v>139</v>
      </c>
      <c r="K108" s="32"/>
    </row>
    <row r="109" customFormat="false" ht="15" hidden="false" customHeight="false" outlineLevel="0" collapsed="false">
      <c r="A109" s="31" t="s">
        <v>300</v>
      </c>
      <c r="B109" s="31" t="s">
        <v>26</v>
      </c>
      <c r="C109" s="31" t="s">
        <v>60</v>
      </c>
      <c r="D109" s="31" t="n">
        <v>2019</v>
      </c>
      <c r="E109" s="31" t="s">
        <v>563</v>
      </c>
      <c r="F109" s="31" t="s">
        <v>564</v>
      </c>
      <c r="G109" s="31" t="n">
        <v>7.5</v>
      </c>
      <c r="H109" s="31" t="n">
        <v>105</v>
      </c>
      <c r="I109" s="31" t="s">
        <v>33</v>
      </c>
      <c r="J109" s="31" t="s">
        <v>111</v>
      </c>
      <c r="K109" s="31" t="s">
        <v>141</v>
      </c>
    </row>
    <row r="110" customFormat="false" ht="15" hidden="false" customHeight="false" outlineLevel="0" collapsed="false">
      <c r="A110" s="31" t="s">
        <v>140</v>
      </c>
      <c r="B110" s="31" t="s">
        <v>35</v>
      </c>
      <c r="C110" s="31" t="s">
        <v>63</v>
      </c>
      <c r="D110" s="31" t="n">
        <v>2002</v>
      </c>
      <c r="E110" s="31" t="s">
        <v>565</v>
      </c>
      <c r="F110" s="31" t="s">
        <v>566</v>
      </c>
      <c r="G110" s="31" t="n">
        <v>5.3</v>
      </c>
      <c r="H110" s="31" t="n">
        <v>133</v>
      </c>
      <c r="I110" s="31" t="s">
        <v>33</v>
      </c>
      <c r="J110" s="31" t="s">
        <v>106</v>
      </c>
      <c r="K110" s="31" t="s">
        <v>141</v>
      </c>
    </row>
    <row r="111" customFormat="false" ht="15" hidden="false" customHeight="false" outlineLevel="0" collapsed="false">
      <c r="A111" s="31" t="s">
        <v>336</v>
      </c>
      <c r="B111" s="31" t="s">
        <v>32</v>
      </c>
      <c r="C111" s="31" t="s">
        <v>46</v>
      </c>
      <c r="D111" s="31" t="n">
        <v>2022</v>
      </c>
      <c r="E111" s="31" t="s">
        <v>567</v>
      </c>
      <c r="F111" s="31" t="s">
        <v>568</v>
      </c>
      <c r="G111" s="31" t="n">
        <v>7.8</v>
      </c>
      <c r="H111" s="31" t="n">
        <v>113</v>
      </c>
      <c r="I111" s="31" t="s">
        <v>42</v>
      </c>
      <c r="J111" s="31" t="s">
        <v>154</v>
      </c>
      <c r="K111" s="31" t="s">
        <v>128</v>
      </c>
    </row>
    <row r="112" customFormat="false" ht="15" hidden="false" customHeight="false" outlineLevel="0" collapsed="false">
      <c r="A112" s="31" t="s">
        <v>115</v>
      </c>
      <c r="B112" s="31" t="s">
        <v>50</v>
      </c>
      <c r="C112" s="31" t="s">
        <v>55</v>
      </c>
      <c r="D112" s="31" t="n">
        <v>2000</v>
      </c>
      <c r="E112" s="31" t="s">
        <v>569</v>
      </c>
      <c r="F112" s="31" t="s">
        <v>520</v>
      </c>
      <c r="G112" s="31" t="n">
        <v>7.1</v>
      </c>
      <c r="H112" s="31" t="n">
        <v>122</v>
      </c>
      <c r="I112" s="31" t="s">
        <v>36</v>
      </c>
      <c r="J112" s="31" t="s">
        <v>116</v>
      </c>
      <c r="K112" s="31" t="s">
        <v>107</v>
      </c>
    </row>
    <row r="113" customFormat="false" ht="15" hidden="false" customHeight="false" outlineLevel="0" collapsed="false">
      <c r="A113" s="31" t="s">
        <v>324</v>
      </c>
      <c r="B113" s="31" t="s">
        <v>50</v>
      </c>
      <c r="C113" s="31" t="s">
        <v>49</v>
      </c>
      <c r="D113" s="31" t="n">
        <v>2021</v>
      </c>
      <c r="E113" s="31" t="s">
        <v>570</v>
      </c>
      <c r="F113" s="31" t="s">
        <v>571</v>
      </c>
      <c r="G113" s="31" t="n">
        <v>9.3</v>
      </c>
      <c r="H113" s="31" t="n">
        <v>110</v>
      </c>
      <c r="I113" s="31" t="s">
        <v>45</v>
      </c>
      <c r="J113" s="31" t="s">
        <v>113</v>
      </c>
      <c r="K113" s="31" t="s">
        <v>146</v>
      </c>
    </row>
    <row r="114" customFormat="false" ht="15" hidden="false" customHeight="false" outlineLevel="0" collapsed="false">
      <c r="A114" s="31" t="s">
        <v>229</v>
      </c>
      <c r="B114" s="31" t="s">
        <v>572</v>
      </c>
      <c r="C114" s="31" t="s">
        <v>56</v>
      </c>
      <c r="D114" s="31" t="n">
        <v>2010</v>
      </c>
      <c r="E114" s="31" t="s">
        <v>573</v>
      </c>
      <c r="F114" s="31" t="s">
        <v>574</v>
      </c>
      <c r="G114" s="31" t="n">
        <v>7.8</v>
      </c>
      <c r="H114" s="31" t="n">
        <v>102</v>
      </c>
      <c r="I114" s="31" t="s">
        <v>24</v>
      </c>
      <c r="J114" s="31" t="s">
        <v>121</v>
      </c>
      <c r="K114" s="31" t="s">
        <v>461</v>
      </c>
    </row>
    <row r="115" customFormat="false" ht="15" hidden="false" customHeight="false" outlineLevel="0" collapsed="false">
      <c r="A115" s="31" t="s">
        <v>257</v>
      </c>
      <c r="B115" s="31" t="s">
        <v>26</v>
      </c>
      <c r="C115" s="31" t="s">
        <v>65</v>
      </c>
      <c r="D115" s="31" t="n">
        <v>2013</v>
      </c>
      <c r="E115" s="31" t="s">
        <v>575</v>
      </c>
      <c r="F115" s="31" t="s">
        <v>576</v>
      </c>
      <c r="G115" s="32"/>
      <c r="H115" s="31" t="n">
        <v>83</v>
      </c>
      <c r="I115" s="31" t="s">
        <v>27</v>
      </c>
      <c r="J115" s="31" t="s">
        <v>111</v>
      </c>
      <c r="K115" s="31" t="s">
        <v>136</v>
      </c>
    </row>
    <row r="116" customFormat="false" ht="15" hidden="false" customHeight="false" outlineLevel="0" collapsed="false">
      <c r="A116" s="31" t="s">
        <v>112</v>
      </c>
      <c r="B116" s="31" t="s">
        <v>50</v>
      </c>
      <c r="C116" s="31" t="s">
        <v>69</v>
      </c>
      <c r="D116" s="31" t="n">
        <v>2000</v>
      </c>
      <c r="E116" s="31" t="s">
        <v>577</v>
      </c>
      <c r="F116" s="31" t="s">
        <v>578</v>
      </c>
      <c r="G116" s="31" t="n">
        <v>5.1</v>
      </c>
      <c r="H116" s="31" t="n">
        <v>130</v>
      </c>
      <c r="I116" s="31" t="s">
        <v>21</v>
      </c>
      <c r="J116" s="31" t="s">
        <v>113</v>
      </c>
      <c r="K116" s="31" t="s">
        <v>114</v>
      </c>
    </row>
    <row r="117" customFormat="false" ht="15" hidden="false" customHeight="false" outlineLevel="0" collapsed="false">
      <c r="A117" s="31" t="s">
        <v>348</v>
      </c>
      <c r="B117" s="31" t="s">
        <v>20</v>
      </c>
      <c r="C117" s="31" t="s">
        <v>59</v>
      </c>
      <c r="D117" s="31" t="n">
        <v>2024</v>
      </c>
      <c r="E117" s="31" t="s">
        <v>579</v>
      </c>
      <c r="F117" s="31" t="s">
        <v>580</v>
      </c>
      <c r="G117" s="31" t="n">
        <v>7</v>
      </c>
      <c r="H117" s="31" t="n">
        <v>127</v>
      </c>
      <c r="I117" s="31" t="s">
        <v>48</v>
      </c>
      <c r="J117" s="31" t="s">
        <v>152</v>
      </c>
      <c r="K117" s="31" t="s">
        <v>119</v>
      </c>
    </row>
    <row r="118" customFormat="false" ht="15" hidden="false" customHeight="false" outlineLevel="0" collapsed="false">
      <c r="A118" s="31" t="s">
        <v>172</v>
      </c>
      <c r="B118" s="31" t="s">
        <v>50</v>
      </c>
      <c r="C118" s="31" t="s">
        <v>31</v>
      </c>
      <c r="D118" s="31" t="n">
        <v>2004</v>
      </c>
      <c r="E118" s="32"/>
      <c r="F118" s="31" t="s">
        <v>581</v>
      </c>
      <c r="G118" s="31" t="n">
        <v>8.6</v>
      </c>
      <c r="H118" s="31" t="n">
        <v>115</v>
      </c>
      <c r="I118" s="31" t="s">
        <v>45</v>
      </c>
      <c r="J118" s="31" t="s">
        <v>113</v>
      </c>
      <c r="K118" s="31" t="s">
        <v>131</v>
      </c>
    </row>
    <row r="119" customFormat="false" ht="15" hidden="false" customHeight="false" outlineLevel="0" collapsed="false">
      <c r="A119" s="31" t="s">
        <v>260</v>
      </c>
      <c r="B119" s="31" t="s">
        <v>23</v>
      </c>
      <c r="C119" s="31" t="s">
        <v>55</v>
      </c>
      <c r="D119" s="31" t="n">
        <v>2013</v>
      </c>
      <c r="E119" s="31" t="s">
        <v>582</v>
      </c>
      <c r="F119" s="31" t="s">
        <v>583</v>
      </c>
      <c r="G119" s="31" t="n">
        <v>6.2</v>
      </c>
      <c r="H119" s="31" t="n">
        <v>81</v>
      </c>
      <c r="I119" s="31" t="s">
        <v>33</v>
      </c>
      <c r="J119" s="31" t="s">
        <v>181</v>
      </c>
      <c r="K119" s="31" t="s">
        <v>119</v>
      </c>
    </row>
    <row r="120" customFormat="false" ht="15" hidden="false" customHeight="false" outlineLevel="0" collapsed="false">
      <c r="A120" s="31" t="s">
        <v>110</v>
      </c>
      <c r="B120" s="31" t="s">
        <v>35</v>
      </c>
      <c r="C120" s="31" t="s">
        <v>28</v>
      </c>
      <c r="D120" s="31" t="n">
        <v>2000</v>
      </c>
      <c r="E120" s="31" t="s">
        <v>584</v>
      </c>
      <c r="F120" s="31" t="s">
        <v>585</v>
      </c>
      <c r="G120" s="31" t="n">
        <v>7.4</v>
      </c>
      <c r="H120" s="31" t="n">
        <v>149</v>
      </c>
      <c r="I120" s="31" t="s">
        <v>33</v>
      </c>
      <c r="J120" s="31" t="s">
        <v>111</v>
      </c>
      <c r="K120" s="31" t="s">
        <v>109</v>
      </c>
    </row>
    <row r="121" customFormat="false" ht="15" hidden="false" customHeight="false" outlineLevel="0" collapsed="false">
      <c r="A121" s="31" t="s">
        <v>314</v>
      </c>
      <c r="B121" s="31" t="s">
        <v>41</v>
      </c>
      <c r="C121" s="31" t="s">
        <v>55</v>
      </c>
      <c r="D121" s="31" t="n">
        <v>2020</v>
      </c>
      <c r="E121" s="31" t="s">
        <v>586</v>
      </c>
      <c r="F121" s="31" t="s">
        <v>587</v>
      </c>
      <c r="G121" s="31" t="n">
        <v>6.2</v>
      </c>
      <c r="H121" s="31" t="n">
        <v>131</v>
      </c>
      <c r="I121" s="31" t="s">
        <v>24</v>
      </c>
      <c r="J121" s="31" t="s">
        <v>181</v>
      </c>
      <c r="K121" s="31" t="s">
        <v>109</v>
      </c>
    </row>
    <row r="122" customFormat="false" ht="15" hidden="false" customHeight="false" outlineLevel="0" collapsed="false">
      <c r="A122" s="31" t="s">
        <v>315</v>
      </c>
      <c r="B122" s="31" t="s">
        <v>44</v>
      </c>
      <c r="C122" s="31" t="s">
        <v>49</v>
      </c>
      <c r="D122" s="31" t="n">
        <v>2020</v>
      </c>
      <c r="E122" s="31" t="s">
        <v>588</v>
      </c>
      <c r="F122" s="31" t="s">
        <v>589</v>
      </c>
      <c r="G122" s="31" t="n">
        <v>7.1</v>
      </c>
      <c r="H122" s="31" t="n">
        <v>134</v>
      </c>
      <c r="I122" s="31" t="s">
        <v>33</v>
      </c>
      <c r="J122" s="31" t="s">
        <v>154</v>
      </c>
      <c r="K122" s="31" t="s">
        <v>107</v>
      </c>
    </row>
    <row r="123" customFormat="false" ht="15" hidden="false" customHeight="false" outlineLevel="0" collapsed="false">
      <c r="A123" s="31" t="s">
        <v>197</v>
      </c>
      <c r="B123" s="31" t="s">
        <v>41</v>
      </c>
      <c r="C123" s="31" t="s">
        <v>28</v>
      </c>
      <c r="D123" s="31" t="n">
        <v>2006</v>
      </c>
      <c r="E123" s="31" t="s">
        <v>590</v>
      </c>
      <c r="F123" s="31" t="s">
        <v>591</v>
      </c>
      <c r="G123" s="31" t="n">
        <v>7.2</v>
      </c>
      <c r="H123" s="31" t="n">
        <v>105</v>
      </c>
      <c r="I123" s="31" t="s">
        <v>27</v>
      </c>
      <c r="J123" s="32"/>
      <c r="K123" s="31" t="s">
        <v>141</v>
      </c>
    </row>
    <row r="124" customFormat="false" ht="15" hidden="false" customHeight="false" outlineLevel="0" collapsed="false">
      <c r="A124" s="31" t="s">
        <v>334</v>
      </c>
      <c r="B124" s="31" t="s">
        <v>53</v>
      </c>
      <c r="C124" s="31" t="s">
        <v>25</v>
      </c>
      <c r="D124" s="31" t="n">
        <v>2022</v>
      </c>
      <c r="E124" s="32"/>
      <c r="F124" s="31" t="s">
        <v>592</v>
      </c>
      <c r="G124" s="31" t="n">
        <v>8.2</v>
      </c>
      <c r="H124" s="31" t="n">
        <v>101</v>
      </c>
      <c r="I124" s="31" t="s">
        <v>42</v>
      </c>
      <c r="J124" s="31" t="s">
        <v>113</v>
      </c>
      <c r="K124" s="31" t="s">
        <v>141</v>
      </c>
    </row>
    <row r="125" customFormat="false" ht="15" hidden="false" customHeight="false" outlineLevel="0" collapsed="false">
      <c r="A125" s="31" t="s">
        <v>247</v>
      </c>
      <c r="B125" s="31" t="s">
        <v>44</v>
      </c>
      <c r="C125" s="31" t="s">
        <v>63</v>
      </c>
      <c r="D125" s="31" t="n">
        <v>2012</v>
      </c>
      <c r="E125" s="31" t="s">
        <v>593</v>
      </c>
      <c r="F125" s="31" t="s">
        <v>594</v>
      </c>
      <c r="G125" s="31" t="n">
        <v>6.9</v>
      </c>
      <c r="H125" s="31" t="n">
        <v>93</v>
      </c>
      <c r="I125" s="31" t="s">
        <v>33</v>
      </c>
      <c r="J125" s="31" t="s">
        <v>113</v>
      </c>
      <c r="K125" s="32"/>
    </row>
    <row r="126" customFormat="false" ht="15" hidden="false" customHeight="false" outlineLevel="0" collapsed="false">
      <c r="A126" s="31" t="s">
        <v>293</v>
      </c>
      <c r="B126" s="31" t="s">
        <v>23</v>
      </c>
      <c r="C126" s="31" t="s">
        <v>54</v>
      </c>
      <c r="D126" s="31" t="n">
        <v>2018</v>
      </c>
      <c r="E126" s="31" t="s">
        <v>595</v>
      </c>
      <c r="F126" s="31" t="s">
        <v>596</v>
      </c>
      <c r="G126" s="31" t="n">
        <v>5.4</v>
      </c>
      <c r="H126" s="31" t="n">
        <v>125</v>
      </c>
      <c r="I126" s="31" t="s">
        <v>39</v>
      </c>
      <c r="J126" s="31" t="s">
        <v>106</v>
      </c>
      <c r="K126" s="31" t="s">
        <v>146</v>
      </c>
    </row>
    <row r="127" customFormat="false" ht="15" hidden="false" customHeight="false" outlineLevel="0" collapsed="false">
      <c r="A127" s="31" t="s">
        <v>264</v>
      </c>
      <c r="B127" s="31" t="s">
        <v>23</v>
      </c>
      <c r="C127" s="31" t="s">
        <v>52</v>
      </c>
      <c r="D127" s="31" t="n">
        <v>2014</v>
      </c>
      <c r="E127" s="31" t="s">
        <v>597</v>
      </c>
      <c r="F127" s="31" t="s">
        <v>598</v>
      </c>
      <c r="G127" s="31" t="n">
        <v>7.8</v>
      </c>
      <c r="H127" s="31" t="n">
        <v>127</v>
      </c>
      <c r="I127" s="31" t="s">
        <v>39</v>
      </c>
      <c r="J127" s="31" t="s">
        <v>116</v>
      </c>
      <c r="K127" s="31" t="s">
        <v>119</v>
      </c>
    </row>
    <row r="128" customFormat="false" ht="15" hidden="false" customHeight="false" outlineLevel="0" collapsed="false">
      <c r="A128" s="31" t="s">
        <v>205</v>
      </c>
      <c r="B128" s="31" t="s">
        <v>44</v>
      </c>
      <c r="C128" s="31" t="s">
        <v>40</v>
      </c>
      <c r="D128" s="31" t="n">
        <v>2007</v>
      </c>
      <c r="E128" s="31" t="s">
        <v>599</v>
      </c>
      <c r="F128" s="31" t="s">
        <v>600</v>
      </c>
      <c r="G128" s="31" t="n">
        <v>5.8</v>
      </c>
      <c r="H128" s="31" t="n">
        <v>149</v>
      </c>
      <c r="I128" s="31" t="s">
        <v>48</v>
      </c>
      <c r="J128" s="31" t="s">
        <v>121</v>
      </c>
      <c r="K128" s="31" t="s">
        <v>107</v>
      </c>
    </row>
    <row r="129" customFormat="false" ht="15" hidden="false" customHeight="false" outlineLevel="0" collapsed="false">
      <c r="A129" s="31" t="s">
        <v>287</v>
      </c>
      <c r="B129" s="31" t="s">
        <v>53</v>
      </c>
      <c r="C129" s="31" t="s">
        <v>62</v>
      </c>
      <c r="D129" s="31" t="n">
        <v>2017</v>
      </c>
      <c r="E129" s="31" t="s">
        <v>601</v>
      </c>
      <c r="F129" s="31" t="s">
        <v>602</v>
      </c>
      <c r="G129" s="31" t="n">
        <v>6.7</v>
      </c>
      <c r="H129" s="31" t="n">
        <v>112</v>
      </c>
      <c r="I129" s="31" t="s">
        <v>36</v>
      </c>
      <c r="J129" s="31" t="s">
        <v>113</v>
      </c>
      <c r="K129" s="31" t="s">
        <v>122</v>
      </c>
    </row>
    <row r="130" customFormat="false" ht="15" hidden="false" customHeight="false" outlineLevel="0" collapsed="false">
      <c r="A130" s="31" t="s">
        <v>603</v>
      </c>
      <c r="B130" s="31" t="s">
        <v>32</v>
      </c>
      <c r="C130" s="31" t="s">
        <v>63</v>
      </c>
      <c r="D130" s="31" t="n">
        <v>2005</v>
      </c>
      <c r="E130" s="31" t="s">
        <v>604</v>
      </c>
      <c r="F130" s="31" t="s">
        <v>605</v>
      </c>
      <c r="G130" s="31" t="n">
        <v>6.5</v>
      </c>
      <c r="H130" s="31" t="n">
        <v>116</v>
      </c>
      <c r="I130" s="31" t="s">
        <v>21</v>
      </c>
      <c r="J130" s="31" t="s">
        <v>181</v>
      </c>
      <c r="K130" s="31" t="s">
        <v>104</v>
      </c>
    </row>
    <row r="131" customFormat="false" ht="15" hidden="false" customHeight="false" outlineLevel="0" collapsed="false">
      <c r="A131" s="31" t="s">
        <v>233</v>
      </c>
      <c r="B131" s="31" t="s">
        <v>35</v>
      </c>
      <c r="C131" s="31" t="s">
        <v>34</v>
      </c>
      <c r="D131" s="31" t="n">
        <v>2011</v>
      </c>
      <c r="E131" s="31" t="s">
        <v>606</v>
      </c>
      <c r="F131" s="31" t="s">
        <v>607</v>
      </c>
      <c r="G131" s="31" t="n">
        <v>5.4</v>
      </c>
      <c r="H131" s="31" t="n">
        <v>109</v>
      </c>
      <c r="I131" s="31" t="s">
        <v>24</v>
      </c>
      <c r="J131" s="31" t="s">
        <v>111</v>
      </c>
      <c r="K131" s="31" t="s">
        <v>136</v>
      </c>
    </row>
    <row r="132" customFormat="false" ht="15" hidden="false" customHeight="false" outlineLevel="0" collapsed="false">
      <c r="A132" s="31" t="s">
        <v>175</v>
      </c>
      <c r="B132" s="31" t="s">
        <v>38</v>
      </c>
      <c r="C132" s="31" t="s">
        <v>69</v>
      </c>
      <c r="D132" s="31" t="n">
        <v>2004</v>
      </c>
      <c r="E132" s="31" t="s">
        <v>608</v>
      </c>
      <c r="F132" s="31" t="s">
        <v>609</v>
      </c>
      <c r="G132" s="31" t="n">
        <v>8.2</v>
      </c>
      <c r="H132" s="31" t="n">
        <v>87</v>
      </c>
      <c r="I132" s="31" t="s">
        <v>36</v>
      </c>
      <c r="J132" s="31" t="s">
        <v>139</v>
      </c>
      <c r="K132" s="31" t="s">
        <v>107</v>
      </c>
    </row>
    <row r="133" customFormat="false" ht="15" hidden="false" customHeight="false" outlineLevel="0" collapsed="false">
      <c r="A133" s="31" t="s">
        <v>200</v>
      </c>
      <c r="B133" s="31" t="s">
        <v>26</v>
      </c>
      <c r="C133" s="31" t="s">
        <v>62</v>
      </c>
      <c r="D133" s="31" t="n">
        <v>2007</v>
      </c>
      <c r="E133" s="31" t="s">
        <v>610</v>
      </c>
      <c r="F133" s="31" t="s">
        <v>611</v>
      </c>
      <c r="G133" s="31" t="n">
        <v>6.2</v>
      </c>
      <c r="H133" s="31" t="n">
        <v>75</v>
      </c>
      <c r="I133" s="31" t="s">
        <v>42</v>
      </c>
      <c r="J133" s="31" t="s">
        <v>118</v>
      </c>
      <c r="K133" s="31" t="s">
        <v>184</v>
      </c>
    </row>
    <row r="134" customFormat="false" ht="15" hidden="false" customHeight="false" outlineLevel="0" collapsed="false">
      <c r="A134" s="31" t="s">
        <v>267</v>
      </c>
      <c r="B134" s="31" t="s">
        <v>38</v>
      </c>
      <c r="C134" s="31" t="s">
        <v>46</v>
      </c>
      <c r="D134" s="31" t="n">
        <v>2014</v>
      </c>
      <c r="E134" s="31" t="s">
        <v>612</v>
      </c>
      <c r="F134" s="31" t="s">
        <v>613</v>
      </c>
      <c r="G134" s="31" t="n">
        <v>6.7</v>
      </c>
      <c r="H134" s="31" t="n">
        <v>110</v>
      </c>
      <c r="I134" s="31" t="s">
        <v>42</v>
      </c>
      <c r="J134" s="31" t="s">
        <v>148</v>
      </c>
      <c r="K134" s="32"/>
    </row>
    <row r="135" customFormat="false" ht="15" hidden="false" customHeight="false" outlineLevel="0" collapsed="false">
      <c r="A135" s="31" t="s">
        <v>269</v>
      </c>
      <c r="B135" s="31" t="s">
        <v>50</v>
      </c>
      <c r="C135" s="31" t="s">
        <v>31</v>
      </c>
      <c r="D135" s="31" t="n">
        <v>2014</v>
      </c>
      <c r="E135" s="32"/>
      <c r="F135" s="31" t="s">
        <v>614</v>
      </c>
      <c r="G135" s="31" t="n">
        <v>7.8</v>
      </c>
      <c r="H135" s="31" t="n">
        <v>127</v>
      </c>
      <c r="I135" s="31" t="s">
        <v>24</v>
      </c>
      <c r="J135" s="31" t="s">
        <v>118</v>
      </c>
      <c r="K135" s="31" t="s">
        <v>107</v>
      </c>
    </row>
    <row r="136" customFormat="false" ht="15" hidden="false" customHeight="false" outlineLevel="0" collapsed="false">
      <c r="A136" s="31" t="s">
        <v>319</v>
      </c>
      <c r="B136" s="31" t="s">
        <v>47</v>
      </c>
      <c r="C136" s="31" t="s">
        <v>55</v>
      </c>
      <c r="D136" s="31" t="n">
        <v>2020</v>
      </c>
      <c r="E136" s="31" t="s">
        <v>615</v>
      </c>
      <c r="F136" s="31" t="s">
        <v>616</v>
      </c>
      <c r="G136" s="31" t="n">
        <v>6.9</v>
      </c>
      <c r="H136" s="31" t="n">
        <v>109</v>
      </c>
      <c r="I136" s="31" t="s">
        <v>48</v>
      </c>
      <c r="J136" s="31" t="s">
        <v>154</v>
      </c>
      <c r="K136" s="31" t="s">
        <v>119</v>
      </c>
    </row>
    <row r="137" customFormat="false" ht="15" hidden="false" customHeight="false" outlineLevel="0" collapsed="false">
      <c r="A137" s="31" t="s">
        <v>211</v>
      </c>
      <c r="B137" s="31" t="s">
        <v>53</v>
      </c>
      <c r="C137" s="31" t="s">
        <v>57</v>
      </c>
      <c r="D137" s="31" t="n">
        <v>2008</v>
      </c>
      <c r="E137" s="31" t="s">
        <v>617</v>
      </c>
      <c r="F137" s="31" t="s">
        <v>618</v>
      </c>
      <c r="G137" s="31" t="n">
        <v>4.7</v>
      </c>
      <c r="H137" s="31" t="n">
        <v>112</v>
      </c>
      <c r="I137" s="31" t="s">
        <v>42</v>
      </c>
      <c r="J137" s="31" t="s">
        <v>103</v>
      </c>
      <c r="K137" s="31" t="s">
        <v>109</v>
      </c>
    </row>
    <row r="138" customFormat="false" ht="15" hidden="false" customHeight="false" outlineLevel="0" collapsed="false">
      <c r="A138" s="31" t="s">
        <v>193</v>
      </c>
      <c r="B138" s="31" t="s">
        <v>38</v>
      </c>
      <c r="C138" s="31" t="s">
        <v>31</v>
      </c>
      <c r="D138" s="31" t="n">
        <v>2006</v>
      </c>
      <c r="E138" s="31" t="s">
        <v>619</v>
      </c>
      <c r="F138" s="32"/>
      <c r="G138" s="31" t="n">
        <v>5.2</v>
      </c>
      <c r="H138" s="31" t="n">
        <v>125</v>
      </c>
      <c r="I138" s="31" t="s">
        <v>33</v>
      </c>
      <c r="J138" s="31" t="s">
        <v>118</v>
      </c>
      <c r="K138" s="31" t="s">
        <v>109</v>
      </c>
    </row>
    <row r="139" customFormat="false" ht="15" hidden="false" customHeight="false" outlineLevel="0" collapsed="false">
      <c r="A139" s="31" t="s">
        <v>620</v>
      </c>
      <c r="B139" s="31" t="s">
        <v>23</v>
      </c>
      <c r="C139" s="31" t="s">
        <v>31</v>
      </c>
      <c r="D139" s="31" t="n">
        <v>2002</v>
      </c>
      <c r="E139" s="31" t="s">
        <v>369</v>
      </c>
      <c r="F139" s="31" t="s">
        <v>370</v>
      </c>
      <c r="G139" s="31" t="n">
        <v>6.5</v>
      </c>
      <c r="H139" s="31" t="n">
        <v>135</v>
      </c>
      <c r="I139" s="31" t="s">
        <v>33</v>
      </c>
      <c r="J139" s="31" t="s">
        <v>118</v>
      </c>
      <c r="K139" s="31" t="s">
        <v>136</v>
      </c>
    </row>
    <row r="140" customFormat="false" ht="15" hidden="false" customHeight="false" outlineLevel="0" collapsed="false">
      <c r="A140" s="31" t="s">
        <v>225</v>
      </c>
      <c r="B140" s="31" t="s">
        <v>47</v>
      </c>
      <c r="C140" s="31" t="s">
        <v>54</v>
      </c>
      <c r="D140" s="31" t="n">
        <v>2010</v>
      </c>
      <c r="E140" s="31" t="s">
        <v>621</v>
      </c>
      <c r="F140" s="31" t="s">
        <v>622</v>
      </c>
      <c r="G140" s="31" t="n">
        <v>6</v>
      </c>
      <c r="H140" s="32"/>
      <c r="I140" s="31" t="s">
        <v>30</v>
      </c>
      <c r="J140" s="31" t="s">
        <v>125</v>
      </c>
      <c r="K140" s="31" t="s">
        <v>131</v>
      </c>
    </row>
    <row r="141" customFormat="false" ht="15" hidden="false" customHeight="false" outlineLevel="0" collapsed="false">
      <c r="A141" s="31" t="s">
        <v>311</v>
      </c>
      <c r="B141" s="31" t="s">
        <v>50</v>
      </c>
      <c r="C141" s="31" t="s">
        <v>63</v>
      </c>
      <c r="D141" s="31" t="n">
        <v>2020</v>
      </c>
      <c r="E141" s="31" t="s">
        <v>623</v>
      </c>
      <c r="F141" s="31" t="s">
        <v>624</v>
      </c>
      <c r="G141" s="31" t="n">
        <v>6.8</v>
      </c>
      <c r="H141" s="31" t="n">
        <v>128</v>
      </c>
      <c r="I141" s="32"/>
      <c r="J141" s="31" t="s">
        <v>113</v>
      </c>
      <c r="K141" s="31" t="s">
        <v>184</v>
      </c>
    </row>
    <row r="142" customFormat="false" ht="15" hidden="false" customHeight="false" outlineLevel="0" collapsed="false">
      <c r="A142" s="31" t="s">
        <v>625</v>
      </c>
      <c r="B142" s="31" t="s">
        <v>32</v>
      </c>
      <c r="C142" s="31" t="s">
        <v>65</v>
      </c>
      <c r="D142" s="31" t="n">
        <v>2012</v>
      </c>
      <c r="E142" s="31" t="s">
        <v>451</v>
      </c>
      <c r="F142" s="31" t="s">
        <v>452</v>
      </c>
      <c r="G142" s="31" t="n">
        <v>7.7</v>
      </c>
      <c r="H142" s="31" t="n">
        <v>133</v>
      </c>
      <c r="I142" s="31" t="s">
        <v>21</v>
      </c>
      <c r="J142" s="31" t="s">
        <v>103</v>
      </c>
      <c r="K142" s="31" t="s">
        <v>146</v>
      </c>
    </row>
    <row r="143" customFormat="false" ht="15" hidden="false" customHeight="false" outlineLevel="0" collapsed="false">
      <c r="A143" s="31" t="s">
        <v>339</v>
      </c>
      <c r="B143" s="31" t="s">
        <v>53</v>
      </c>
      <c r="C143" s="31" t="s">
        <v>61</v>
      </c>
      <c r="D143" s="31" t="n">
        <v>2023</v>
      </c>
      <c r="E143" s="31" t="s">
        <v>626</v>
      </c>
      <c r="F143" s="31" t="s">
        <v>627</v>
      </c>
      <c r="G143" s="31" t="n">
        <v>6.7</v>
      </c>
      <c r="H143" s="31" t="n">
        <v>119</v>
      </c>
      <c r="I143" s="31" t="s">
        <v>24</v>
      </c>
      <c r="J143" s="31" t="s">
        <v>181</v>
      </c>
      <c r="K143" s="31" t="s">
        <v>114</v>
      </c>
    </row>
    <row r="144" customFormat="false" ht="15" hidden="false" customHeight="false" outlineLevel="0" collapsed="false">
      <c r="A144" s="31" t="s">
        <v>164</v>
      </c>
      <c r="B144" s="31" t="s">
        <v>20</v>
      </c>
      <c r="C144" s="31" t="s">
        <v>56</v>
      </c>
      <c r="D144" s="31" t="n">
        <v>2003</v>
      </c>
      <c r="E144" s="31" t="s">
        <v>628</v>
      </c>
      <c r="F144" s="31" t="s">
        <v>629</v>
      </c>
      <c r="G144" s="31" t="n">
        <v>6.1</v>
      </c>
      <c r="H144" s="31" t="n">
        <v>110</v>
      </c>
      <c r="I144" s="31" t="s">
        <v>27</v>
      </c>
      <c r="J144" s="31" t="s">
        <v>106</v>
      </c>
      <c r="K144" s="31" t="s">
        <v>122</v>
      </c>
    </row>
    <row r="145" customFormat="false" ht="15" hidden="false" customHeight="false" outlineLevel="0" collapsed="false">
      <c r="A145" s="31" t="s">
        <v>630</v>
      </c>
      <c r="B145" s="31" t="s">
        <v>20</v>
      </c>
      <c r="C145" s="31" t="s">
        <v>46</v>
      </c>
      <c r="D145" s="31" t="n">
        <v>2009</v>
      </c>
      <c r="E145" s="31" t="s">
        <v>631</v>
      </c>
      <c r="F145" s="31" t="s">
        <v>632</v>
      </c>
      <c r="G145" s="31" t="n">
        <v>5.8</v>
      </c>
      <c r="H145" s="31" t="n">
        <v>129</v>
      </c>
      <c r="I145" s="31" t="s">
        <v>36</v>
      </c>
      <c r="J145" s="31" t="s">
        <v>170</v>
      </c>
      <c r="K145" s="31" t="s">
        <v>107</v>
      </c>
    </row>
    <row r="146" customFormat="false" ht="15" hidden="false" customHeight="false" outlineLevel="0" collapsed="false">
      <c r="A146" s="31" t="s">
        <v>214</v>
      </c>
      <c r="B146" s="31" t="s">
        <v>38</v>
      </c>
      <c r="C146" s="31" t="s">
        <v>59</v>
      </c>
      <c r="D146" s="31" t="n">
        <v>2008</v>
      </c>
      <c r="E146" s="31" t="s">
        <v>633</v>
      </c>
      <c r="F146" s="31" t="s">
        <v>634</v>
      </c>
      <c r="G146" s="31" t="n">
        <v>6.2</v>
      </c>
      <c r="H146" s="31" t="n">
        <v>127</v>
      </c>
      <c r="I146" s="31" t="s">
        <v>24</v>
      </c>
      <c r="J146" s="31" t="s">
        <v>121</v>
      </c>
      <c r="K146" s="31" t="s">
        <v>131</v>
      </c>
    </row>
    <row r="147" customFormat="false" ht="15" hidden="false" customHeight="false" outlineLevel="0" collapsed="false">
      <c r="A147" s="31" t="s">
        <v>130</v>
      </c>
      <c r="B147" s="31" t="s">
        <v>44</v>
      </c>
      <c r="C147" s="31" t="s">
        <v>55</v>
      </c>
      <c r="D147" s="31" t="n">
        <v>2001</v>
      </c>
      <c r="E147" s="31" t="s">
        <v>635</v>
      </c>
      <c r="F147" s="31" t="s">
        <v>636</v>
      </c>
      <c r="G147" s="31" t="n">
        <v>8.1</v>
      </c>
      <c r="H147" s="31" t="n">
        <v>101</v>
      </c>
      <c r="I147" s="31" t="s">
        <v>36</v>
      </c>
      <c r="J147" s="31" t="s">
        <v>106</v>
      </c>
      <c r="K147" s="31" t="s">
        <v>131</v>
      </c>
    </row>
    <row r="148" customFormat="false" ht="15" hidden="false" customHeight="false" outlineLevel="0" collapsed="false">
      <c r="A148" s="31" t="s">
        <v>303</v>
      </c>
      <c r="B148" s="31" t="s">
        <v>44</v>
      </c>
      <c r="C148" s="31" t="s">
        <v>58</v>
      </c>
      <c r="D148" s="31" t="n">
        <v>2019</v>
      </c>
      <c r="E148" s="31" t="s">
        <v>637</v>
      </c>
      <c r="F148" s="31" t="s">
        <v>638</v>
      </c>
      <c r="G148" s="31" t="n">
        <v>5.5</v>
      </c>
      <c r="H148" s="31" t="n">
        <v>84</v>
      </c>
      <c r="I148" s="31" t="s">
        <v>30</v>
      </c>
      <c r="J148" s="31" t="s">
        <v>106</v>
      </c>
      <c r="K148" s="31" t="s">
        <v>136</v>
      </c>
    </row>
    <row r="149" customFormat="false" ht="15" hidden="false" customHeight="false" outlineLevel="0" collapsed="false">
      <c r="A149" s="31" t="s">
        <v>529</v>
      </c>
      <c r="B149" s="31" t="s">
        <v>29</v>
      </c>
      <c r="C149" s="31" t="s">
        <v>60</v>
      </c>
      <c r="D149" s="31" t="n">
        <v>2011</v>
      </c>
      <c r="E149" s="31" t="s">
        <v>530</v>
      </c>
      <c r="F149" s="31" t="s">
        <v>531</v>
      </c>
      <c r="G149" s="31" t="n">
        <v>7.6</v>
      </c>
      <c r="H149" s="31" t="n">
        <v>101</v>
      </c>
      <c r="I149" s="31" t="s">
        <v>36</v>
      </c>
      <c r="J149" s="31" t="s">
        <v>116</v>
      </c>
      <c r="K149" s="31" t="s">
        <v>131</v>
      </c>
    </row>
    <row r="150" customFormat="false" ht="15" hidden="false" customHeight="false" outlineLevel="0" collapsed="false">
      <c r="A150" s="31" t="s">
        <v>639</v>
      </c>
      <c r="B150" s="31" t="s">
        <v>47</v>
      </c>
      <c r="C150" s="31" t="s">
        <v>54</v>
      </c>
      <c r="D150" s="31" t="n">
        <v>2010</v>
      </c>
      <c r="E150" s="31" t="s">
        <v>621</v>
      </c>
      <c r="F150" s="31" t="s">
        <v>622</v>
      </c>
      <c r="G150" s="31" t="n">
        <v>6</v>
      </c>
      <c r="H150" s="31" t="n">
        <v>113</v>
      </c>
      <c r="I150" s="32"/>
      <c r="J150" s="31" t="s">
        <v>125</v>
      </c>
      <c r="K150" s="31" t="s">
        <v>131</v>
      </c>
    </row>
    <row r="151" customFormat="false" ht="15" hidden="false" customHeight="false" outlineLevel="0" collapsed="false">
      <c r="A151" s="31" t="s">
        <v>640</v>
      </c>
      <c r="B151" s="31" t="s">
        <v>35</v>
      </c>
      <c r="C151" s="31" t="s">
        <v>76</v>
      </c>
      <c r="D151" s="31" t="n">
        <v>2024</v>
      </c>
      <c r="E151" s="31" t="s">
        <v>641</v>
      </c>
      <c r="F151" s="31" t="s">
        <v>642</v>
      </c>
      <c r="G151" s="32"/>
      <c r="H151" s="31" t="n">
        <v>116</v>
      </c>
      <c r="I151" s="31" t="s">
        <v>33</v>
      </c>
      <c r="J151" s="31" t="s">
        <v>181</v>
      </c>
      <c r="K151" s="31" t="s">
        <v>122</v>
      </c>
    </row>
    <row r="152" customFormat="false" ht="15" hidden="false" customHeight="false" outlineLevel="0" collapsed="false">
      <c r="A152" s="31" t="s">
        <v>255</v>
      </c>
      <c r="B152" s="31" t="s">
        <v>38</v>
      </c>
      <c r="C152" s="31" t="s">
        <v>76</v>
      </c>
      <c r="D152" s="31" t="n">
        <v>2013</v>
      </c>
      <c r="E152" s="31" t="s">
        <v>643</v>
      </c>
      <c r="F152" s="31" t="s">
        <v>644</v>
      </c>
      <c r="G152" s="31" t="n">
        <v>7.9</v>
      </c>
      <c r="H152" s="31" t="n">
        <v>100</v>
      </c>
      <c r="I152" s="31" t="s">
        <v>24</v>
      </c>
      <c r="J152" s="31" t="s">
        <v>118</v>
      </c>
      <c r="K152" s="31" t="s">
        <v>146</v>
      </c>
    </row>
    <row r="153" customFormat="false" ht="15" hidden="false" customHeight="false" outlineLevel="0" collapsed="false">
      <c r="A153" s="31" t="s">
        <v>176</v>
      </c>
      <c r="B153" s="31" t="s">
        <v>26</v>
      </c>
      <c r="C153" s="31" t="s">
        <v>57</v>
      </c>
      <c r="D153" s="31" t="n">
        <v>2004</v>
      </c>
      <c r="E153" s="31" t="s">
        <v>645</v>
      </c>
      <c r="F153" s="31" t="s">
        <v>646</v>
      </c>
      <c r="G153" s="31" t="n">
        <v>6.4</v>
      </c>
      <c r="H153" s="31" t="n">
        <v>124</v>
      </c>
      <c r="I153" s="31" t="s">
        <v>42</v>
      </c>
      <c r="J153" s="31" t="s">
        <v>144</v>
      </c>
      <c r="K153" s="31" t="s">
        <v>146</v>
      </c>
    </row>
    <row r="154" customFormat="false" ht="15" hidden="false" customHeight="false" outlineLevel="0" collapsed="false">
      <c r="A154" s="31" t="s">
        <v>647</v>
      </c>
      <c r="B154" s="31" t="s">
        <v>26</v>
      </c>
      <c r="C154" s="31" t="s">
        <v>40</v>
      </c>
      <c r="D154" s="31" t="n">
        <v>2019</v>
      </c>
      <c r="E154" s="31" t="s">
        <v>648</v>
      </c>
      <c r="F154" s="31" t="s">
        <v>649</v>
      </c>
      <c r="G154" s="31" t="n">
        <v>5.2</v>
      </c>
      <c r="H154" s="31" t="n">
        <v>75</v>
      </c>
      <c r="I154" s="31" t="s">
        <v>21</v>
      </c>
      <c r="J154" s="31" t="s">
        <v>139</v>
      </c>
      <c r="K154" s="31" t="s">
        <v>107</v>
      </c>
    </row>
    <row r="155" customFormat="false" ht="15" hidden="false" customHeight="false" outlineLevel="0" collapsed="false">
      <c r="A155" s="31" t="s">
        <v>297</v>
      </c>
      <c r="B155" s="31" t="s">
        <v>26</v>
      </c>
      <c r="C155" s="31" t="s">
        <v>77</v>
      </c>
      <c r="D155" s="31" t="n">
        <v>2018</v>
      </c>
      <c r="E155" s="31" t="s">
        <v>549</v>
      </c>
      <c r="F155" s="32"/>
      <c r="G155" s="31" t="n">
        <v>6.6</v>
      </c>
      <c r="H155" s="31" t="n">
        <v>127</v>
      </c>
      <c r="I155" s="31" t="s">
        <v>24</v>
      </c>
      <c r="J155" s="31" t="s">
        <v>113</v>
      </c>
      <c r="K155" s="31" t="s">
        <v>114</v>
      </c>
    </row>
    <row r="156" customFormat="false" ht="15" hidden="false" customHeight="false" outlineLevel="0" collapsed="false">
      <c r="A156" s="31" t="s">
        <v>179</v>
      </c>
      <c r="B156" s="31" t="s">
        <v>35</v>
      </c>
      <c r="C156" s="31" t="s">
        <v>56</v>
      </c>
      <c r="D156" s="31" t="n">
        <v>2004</v>
      </c>
      <c r="E156" s="31" t="s">
        <v>650</v>
      </c>
      <c r="F156" s="31" t="s">
        <v>651</v>
      </c>
      <c r="G156" s="31" t="n">
        <v>6.9</v>
      </c>
      <c r="H156" s="31" t="n">
        <v>104</v>
      </c>
      <c r="I156" s="31" t="s">
        <v>39</v>
      </c>
      <c r="J156" s="31" t="s">
        <v>103</v>
      </c>
      <c r="K156" s="31" t="s">
        <v>104</v>
      </c>
    </row>
    <row r="157" customFormat="false" ht="15" hidden="false" customHeight="false" outlineLevel="0" collapsed="false">
      <c r="A157" s="31" t="s">
        <v>213</v>
      </c>
      <c r="B157" s="31" t="s">
        <v>41</v>
      </c>
      <c r="C157" s="31" t="s">
        <v>72</v>
      </c>
      <c r="D157" s="31" t="n">
        <v>2008</v>
      </c>
      <c r="E157" s="31" t="s">
        <v>652</v>
      </c>
      <c r="F157" s="31" t="s">
        <v>653</v>
      </c>
      <c r="G157" s="31" t="n">
        <v>6.4</v>
      </c>
      <c r="H157" s="31" t="n">
        <v>132</v>
      </c>
      <c r="I157" s="31" t="s">
        <v>27</v>
      </c>
      <c r="J157" s="31" t="s">
        <v>121</v>
      </c>
      <c r="K157" s="31" t="s">
        <v>128</v>
      </c>
    </row>
    <row r="158" customFormat="false" ht="15" hidden="false" customHeight="false" outlineLevel="0" collapsed="false">
      <c r="A158" s="31" t="s">
        <v>234</v>
      </c>
      <c r="B158" s="31" t="s">
        <v>20</v>
      </c>
      <c r="C158" s="31" t="s">
        <v>59</v>
      </c>
      <c r="D158" s="31" t="n">
        <v>2011</v>
      </c>
      <c r="E158" s="31" t="s">
        <v>654</v>
      </c>
      <c r="F158" s="31" t="s">
        <v>655</v>
      </c>
      <c r="G158" s="31" t="n">
        <v>6</v>
      </c>
      <c r="H158" s="31" t="n">
        <v>129</v>
      </c>
      <c r="I158" s="31" t="s">
        <v>36</v>
      </c>
      <c r="J158" s="31" t="s">
        <v>103</v>
      </c>
      <c r="K158" s="31" t="s">
        <v>136</v>
      </c>
    </row>
    <row r="159" customFormat="false" ht="15" hidden="false" customHeight="false" outlineLevel="0" collapsed="false">
      <c r="A159" s="31" t="s">
        <v>656</v>
      </c>
      <c r="B159" s="31" t="s">
        <v>47</v>
      </c>
      <c r="C159" s="31" t="s">
        <v>25</v>
      </c>
      <c r="D159" s="31" t="n">
        <v>2019</v>
      </c>
      <c r="E159" s="31" t="s">
        <v>657</v>
      </c>
      <c r="F159" s="31" t="s">
        <v>658</v>
      </c>
      <c r="G159" s="31" t="n">
        <v>6.2</v>
      </c>
      <c r="H159" s="31" t="n">
        <v>104</v>
      </c>
      <c r="I159" s="31" t="s">
        <v>42</v>
      </c>
      <c r="J159" s="31" t="s">
        <v>111</v>
      </c>
      <c r="K159" s="31" t="s">
        <v>122</v>
      </c>
    </row>
    <row r="160" customFormat="false" ht="15" hidden="false" customHeight="false" outlineLevel="0" collapsed="false">
      <c r="A160" s="31" t="s">
        <v>120</v>
      </c>
      <c r="B160" s="31" t="s">
        <v>41</v>
      </c>
      <c r="C160" s="31" t="s">
        <v>34</v>
      </c>
      <c r="D160" s="31" t="n">
        <v>2000</v>
      </c>
      <c r="E160" s="31" t="s">
        <v>659</v>
      </c>
      <c r="F160" s="31" t="s">
        <v>660</v>
      </c>
      <c r="G160" s="31" t="n">
        <v>9.5</v>
      </c>
      <c r="H160" s="31" t="n">
        <v>134</v>
      </c>
      <c r="I160" s="31" t="s">
        <v>39</v>
      </c>
      <c r="J160" s="31" t="s">
        <v>121</v>
      </c>
      <c r="K160" s="31" t="s">
        <v>122</v>
      </c>
    </row>
    <row r="161" customFormat="false" ht="15" hidden="false" customHeight="false" outlineLevel="0" collapsed="false">
      <c r="A161" s="31" t="s">
        <v>177</v>
      </c>
      <c r="B161" s="31" t="s">
        <v>41</v>
      </c>
      <c r="C161" s="31" t="s">
        <v>72</v>
      </c>
      <c r="D161" s="31" t="n">
        <v>2004</v>
      </c>
      <c r="E161" s="31" t="s">
        <v>661</v>
      </c>
      <c r="F161" s="31" t="s">
        <v>662</v>
      </c>
      <c r="G161" s="31" t="n">
        <v>7.5</v>
      </c>
      <c r="H161" s="31" t="n">
        <v>118</v>
      </c>
      <c r="I161" s="31" t="s">
        <v>24</v>
      </c>
      <c r="J161" s="31" t="s">
        <v>113</v>
      </c>
      <c r="K161" s="31" t="s">
        <v>136</v>
      </c>
    </row>
    <row r="162" customFormat="false" ht="15" hidden="false" customHeight="false" outlineLevel="0" collapsed="false">
      <c r="A162" s="31" t="s">
        <v>292</v>
      </c>
      <c r="B162" s="31" t="s">
        <v>50</v>
      </c>
      <c r="C162" s="31" t="s">
        <v>69</v>
      </c>
      <c r="D162" s="31" t="n">
        <v>2018</v>
      </c>
      <c r="E162" s="31" t="s">
        <v>663</v>
      </c>
      <c r="F162" s="31" t="s">
        <v>664</v>
      </c>
      <c r="G162" s="32"/>
      <c r="H162" s="31" t="n">
        <v>95</v>
      </c>
      <c r="I162" s="31" t="s">
        <v>36</v>
      </c>
      <c r="J162" s="31" t="s">
        <v>181</v>
      </c>
      <c r="K162" s="31" t="s">
        <v>128</v>
      </c>
    </row>
    <row r="163" customFormat="false" ht="15" hidden="false" customHeight="false" outlineLevel="0" collapsed="false">
      <c r="A163" s="31" t="s">
        <v>309</v>
      </c>
      <c r="B163" s="31" t="s">
        <v>53</v>
      </c>
      <c r="C163" s="31" t="s">
        <v>34</v>
      </c>
      <c r="D163" s="31" t="n">
        <v>2020</v>
      </c>
      <c r="E163" s="31" t="s">
        <v>665</v>
      </c>
      <c r="F163" s="31" t="s">
        <v>666</v>
      </c>
      <c r="G163" s="31" t="n">
        <v>5</v>
      </c>
      <c r="H163" s="31" t="n">
        <v>93</v>
      </c>
      <c r="I163" s="31" t="s">
        <v>21</v>
      </c>
      <c r="J163" s="31" t="s">
        <v>154</v>
      </c>
      <c r="K163" s="31" t="s">
        <v>128</v>
      </c>
    </row>
    <row r="164" customFormat="false" ht="15" hidden="false" customHeight="false" outlineLevel="0" collapsed="false">
      <c r="A164" s="31" t="s">
        <v>191</v>
      </c>
      <c r="B164" s="31" t="s">
        <v>35</v>
      </c>
      <c r="C164" s="31" t="s">
        <v>31</v>
      </c>
      <c r="D164" s="31" t="n">
        <v>2005</v>
      </c>
      <c r="E164" s="31" t="s">
        <v>667</v>
      </c>
      <c r="F164" s="31" t="s">
        <v>668</v>
      </c>
      <c r="G164" s="31" t="n">
        <v>5.8</v>
      </c>
      <c r="H164" s="31" t="n">
        <v>123</v>
      </c>
      <c r="I164" s="31" t="s">
        <v>48</v>
      </c>
      <c r="J164" s="31" t="s">
        <v>116</v>
      </c>
      <c r="K164" s="31" t="s">
        <v>146</v>
      </c>
    </row>
    <row r="165" customFormat="false" ht="15" hidden="false" customHeight="false" outlineLevel="0" collapsed="false">
      <c r="A165" s="31" t="s">
        <v>155</v>
      </c>
      <c r="B165" s="31" t="s">
        <v>29</v>
      </c>
      <c r="C165" s="31" t="s">
        <v>69</v>
      </c>
      <c r="D165" s="31" t="n">
        <v>2002</v>
      </c>
      <c r="E165" s="31" t="s">
        <v>669</v>
      </c>
      <c r="F165" s="32"/>
      <c r="G165" s="31" t="n">
        <v>6.7</v>
      </c>
      <c r="H165" s="31" t="n">
        <v>96</v>
      </c>
      <c r="I165" s="31" t="s">
        <v>39</v>
      </c>
      <c r="J165" s="31" t="s">
        <v>106</v>
      </c>
      <c r="K165" s="31" t="s">
        <v>119</v>
      </c>
    </row>
    <row r="166" customFormat="false" ht="15" hidden="false" customHeight="false" outlineLevel="0" collapsed="false">
      <c r="A166" s="31" t="s">
        <v>178</v>
      </c>
      <c r="B166" s="31" t="s">
        <v>41</v>
      </c>
      <c r="C166" s="31" t="s">
        <v>49</v>
      </c>
      <c r="D166" s="31" t="n">
        <v>2004</v>
      </c>
      <c r="E166" s="31" t="s">
        <v>670</v>
      </c>
      <c r="F166" s="31" t="s">
        <v>671</v>
      </c>
      <c r="G166" s="31" t="n">
        <v>6.3</v>
      </c>
      <c r="H166" s="31" t="n">
        <v>96</v>
      </c>
      <c r="I166" s="31" t="s">
        <v>33</v>
      </c>
      <c r="J166" s="31" t="s">
        <v>144</v>
      </c>
      <c r="K166" s="31" t="s">
        <v>136</v>
      </c>
    </row>
    <row r="167" customFormat="false" ht="15" hidden="false" customHeight="false" outlineLevel="0" collapsed="false">
      <c r="A167" s="31" t="s">
        <v>258</v>
      </c>
      <c r="B167" s="31" t="s">
        <v>53</v>
      </c>
      <c r="C167" s="31" t="s">
        <v>67</v>
      </c>
      <c r="D167" s="31" t="n">
        <v>2013</v>
      </c>
      <c r="E167" s="31" t="s">
        <v>672</v>
      </c>
      <c r="F167" s="31" t="s">
        <v>673</v>
      </c>
      <c r="G167" s="31" t="n">
        <v>6.9</v>
      </c>
      <c r="H167" s="31" t="n">
        <v>98</v>
      </c>
      <c r="I167" s="31" t="s">
        <v>33</v>
      </c>
      <c r="J167" s="31" t="s">
        <v>139</v>
      </c>
      <c r="K167" s="31" t="s">
        <v>122</v>
      </c>
    </row>
    <row r="168" customFormat="false" ht="15" hidden="false" customHeight="false" outlineLevel="0" collapsed="false">
      <c r="A168" s="31" t="s">
        <v>288</v>
      </c>
      <c r="B168" s="31" t="s">
        <v>38</v>
      </c>
      <c r="C168" s="31" t="s">
        <v>56</v>
      </c>
      <c r="D168" s="31" t="n">
        <v>2017</v>
      </c>
      <c r="E168" s="31" t="s">
        <v>674</v>
      </c>
      <c r="F168" s="31" t="s">
        <v>675</v>
      </c>
      <c r="G168" s="31" t="n">
        <v>8</v>
      </c>
      <c r="H168" s="31" t="n">
        <v>83</v>
      </c>
      <c r="I168" s="31" t="s">
        <v>48</v>
      </c>
      <c r="J168" s="31" t="s">
        <v>154</v>
      </c>
      <c r="K168" s="32"/>
    </row>
    <row r="169" customFormat="false" ht="15" hidden="false" customHeight="false" outlineLevel="0" collapsed="false">
      <c r="A169" s="31" t="s">
        <v>676</v>
      </c>
      <c r="B169" s="31" t="s">
        <v>47</v>
      </c>
      <c r="C169" s="31" t="s">
        <v>66</v>
      </c>
      <c r="D169" s="31" t="n">
        <v>2013</v>
      </c>
      <c r="E169" s="31" t="s">
        <v>677</v>
      </c>
      <c r="F169" s="32"/>
      <c r="G169" s="31" t="n">
        <v>5.9</v>
      </c>
      <c r="H169" s="31" t="n">
        <v>121</v>
      </c>
      <c r="I169" s="31" t="s">
        <v>45</v>
      </c>
      <c r="J169" s="31" t="s">
        <v>139</v>
      </c>
      <c r="K169" s="31" t="s">
        <v>107</v>
      </c>
    </row>
    <row r="170" customFormat="false" ht="15" hidden="false" customHeight="false" outlineLevel="0" collapsed="false">
      <c r="A170" s="31" t="s">
        <v>129</v>
      </c>
      <c r="B170" s="31" t="s">
        <v>44</v>
      </c>
      <c r="C170" s="31" t="s">
        <v>52</v>
      </c>
      <c r="D170" s="31" t="n">
        <v>2001</v>
      </c>
      <c r="E170" s="31" t="s">
        <v>678</v>
      </c>
      <c r="F170" s="31" t="s">
        <v>679</v>
      </c>
      <c r="G170" s="31" t="n">
        <v>5.5</v>
      </c>
      <c r="H170" s="31" t="n">
        <v>142</v>
      </c>
      <c r="I170" s="31" t="s">
        <v>45</v>
      </c>
      <c r="J170" s="31" t="s">
        <v>125</v>
      </c>
      <c r="K170" s="31" t="s">
        <v>122</v>
      </c>
    </row>
    <row r="171" customFormat="false" ht="15" hidden="false" customHeight="false" outlineLevel="0" collapsed="false">
      <c r="A171" s="31" t="s">
        <v>325</v>
      </c>
      <c r="B171" s="31" t="s">
        <v>41</v>
      </c>
      <c r="C171" s="31" t="s">
        <v>31</v>
      </c>
      <c r="D171" s="31" t="n">
        <v>2021</v>
      </c>
      <c r="E171" s="31" t="s">
        <v>680</v>
      </c>
      <c r="F171" s="31" t="s">
        <v>681</v>
      </c>
      <c r="G171" s="31" t="n">
        <v>7.5</v>
      </c>
      <c r="H171" s="31" t="n">
        <v>137</v>
      </c>
      <c r="I171" s="31" t="s">
        <v>27</v>
      </c>
      <c r="J171" s="31" t="s">
        <v>152</v>
      </c>
      <c r="K171" s="31" t="s">
        <v>128</v>
      </c>
    </row>
    <row r="172" customFormat="false" ht="15" hidden="false" customHeight="false" outlineLevel="0" collapsed="false">
      <c r="A172" s="31" t="s">
        <v>682</v>
      </c>
      <c r="B172" s="31" t="s">
        <v>29</v>
      </c>
      <c r="C172" s="31" t="s">
        <v>31</v>
      </c>
      <c r="D172" s="31" t="n">
        <v>2023</v>
      </c>
      <c r="E172" s="31" t="s">
        <v>683</v>
      </c>
      <c r="F172" s="31" t="s">
        <v>684</v>
      </c>
      <c r="G172" s="31" t="n">
        <v>6.9</v>
      </c>
      <c r="H172" s="31" t="n">
        <v>124</v>
      </c>
      <c r="I172" s="31" t="s">
        <v>45</v>
      </c>
      <c r="J172" s="31" t="s">
        <v>152</v>
      </c>
      <c r="K172" s="31" t="s">
        <v>184</v>
      </c>
    </row>
    <row r="173" customFormat="false" ht="15" hidden="false" customHeight="false" outlineLevel="0" collapsed="false">
      <c r="A173" s="31" t="s">
        <v>685</v>
      </c>
      <c r="B173" s="31" t="s">
        <v>50</v>
      </c>
      <c r="C173" s="31" t="s">
        <v>68</v>
      </c>
      <c r="D173" s="31" t="n">
        <v>2010</v>
      </c>
      <c r="E173" s="31" t="s">
        <v>686</v>
      </c>
      <c r="F173" s="31" t="s">
        <v>687</v>
      </c>
      <c r="G173" s="31" t="n">
        <v>8.6</v>
      </c>
      <c r="H173" s="31" t="n">
        <v>138</v>
      </c>
      <c r="I173" s="31" t="s">
        <v>42</v>
      </c>
      <c r="J173" s="31" t="s">
        <v>152</v>
      </c>
      <c r="K173" s="31" t="s">
        <v>107</v>
      </c>
    </row>
    <row r="174" customFormat="false" ht="15" hidden="false" customHeight="false" outlineLevel="0" collapsed="false">
      <c r="A174" s="31" t="s">
        <v>318</v>
      </c>
      <c r="B174" s="31" t="s">
        <v>53</v>
      </c>
      <c r="C174" s="31" t="s">
        <v>58</v>
      </c>
      <c r="D174" s="31" t="n">
        <v>2020</v>
      </c>
      <c r="E174" s="31" t="s">
        <v>688</v>
      </c>
      <c r="F174" s="31" t="s">
        <v>689</v>
      </c>
      <c r="G174" s="31" t="n">
        <v>5.3</v>
      </c>
      <c r="H174" s="31" t="n">
        <v>119</v>
      </c>
      <c r="I174" s="31" t="s">
        <v>39</v>
      </c>
      <c r="J174" s="31" t="s">
        <v>106</v>
      </c>
      <c r="K174" s="31" t="s">
        <v>114</v>
      </c>
    </row>
    <row r="175" customFormat="false" ht="15" hidden="false" customHeight="false" outlineLevel="0" collapsed="false">
      <c r="A175" s="31" t="s">
        <v>340</v>
      </c>
      <c r="B175" s="31" t="s">
        <v>26</v>
      </c>
      <c r="C175" s="31" t="s">
        <v>60</v>
      </c>
      <c r="D175" s="31" t="n">
        <v>2023</v>
      </c>
      <c r="E175" s="31" t="s">
        <v>690</v>
      </c>
      <c r="F175" s="31" t="s">
        <v>691</v>
      </c>
      <c r="G175" s="31" t="n">
        <v>8.2</v>
      </c>
      <c r="H175" s="31" t="n">
        <v>122</v>
      </c>
      <c r="I175" s="31" t="s">
        <v>24</v>
      </c>
      <c r="J175" s="31" t="s">
        <v>181</v>
      </c>
      <c r="K175" s="31" t="s">
        <v>107</v>
      </c>
    </row>
    <row r="176" customFormat="false" ht="15" hidden="false" customHeight="false" outlineLevel="0" collapsed="false">
      <c r="A176" s="31" t="s">
        <v>249</v>
      </c>
      <c r="B176" s="31" t="s">
        <v>26</v>
      </c>
      <c r="C176" s="31" t="s">
        <v>57</v>
      </c>
      <c r="D176" s="31" t="n">
        <v>2012</v>
      </c>
      <c r="E176" s="31" t="s">
        <v>398</v>
      </c>
      <c r="F176" s="31" t="s">
        <v>399</v>
      </c>
      <c r="G176" s="31" t="n">
        <v>6.5</v>
      </c>
      <c r="H176" s="31" t="n">
        <v>141</v>
      </c>
      <c r="I176" s="31" t="s">
        <v>30</v>
      </c>
      <c r="J176" s="31" t="s">
        <v>170</v>
      </c>
      <c r="K176" s="31" t="s">
        <v>136</v>
      </c>
    </row>
    <row r="177" customFormat="false" ht="15" hidden="false" customHeight="false" outlineLevel="0" collapsed="false">
      <c r="A177" s="31" t="s">
        <v>182</v>
      </c>
      <c r="B177" s="31" t="s">
        <v>26</v>
      </c>
      <c r="C177" s="31" t="s">
        <v>58</v>
      </c>
      <c r="D177" s="31" t="n">
        <v>2005</v>
      </c>
      <c r="E177" s="31" t="s">
        <v>692</v>
      </c>
      <c r="F177" s="31" t="s">
        <v>693</v>
      </c>
      <c r="G177" s="31" t="n">
        <v>9.3</v>
      </c>
      <c r="H177" s="31" t="n">
        <v>113</v>
      </c>
      <c r="I177" s="31" t="s">
        <v>27</v>
      </c>
      <c r="J177" s="31" t="s">
        <v>139</v>
      </c>
      <c r="K177" s="31" t="s">
        <v>109</v>
      </c>
    </row>
    <row r="178" customFormat="false" ht="15" hidden="false" customHeight="false" outlineLevel="0" collapsed="false">
      <c r="A178" s="31" t="s">
        <v>158</v>
      </c>
      <c r="B178" s="31" t="s">
        <v>38</v>
      </c>
      <c r="C178" s="31" t="s">
        <v>55</v>
      </c>
      <c r="D178" s="31" t="n">
        <v>2003</v>
      </c>
      <c r="E178" s="31" t="s">
        <v>694</v>
      </c>
      <c r="F178" s="31" t="s">
        <v>695</v>
      </c>
      <c r="G178" s="31" t="n">
        <v>6.5</v>
      </c>
      <c r="H178" s="31" t="n">
        <v>112</v>
      </c>
      <c r="I178" s="31" t="s">
        <v>33</v>
      </c>
      <c r="J178" s="31" t="s">
        <v>152</v>
      </c>
      <c r="K178" s="31" t="s">
        <v>119</v>
      </c>
    </row>
    <row r="179" customFormat="false" ht="15" hidden="false" customHeight="false" outlineLevel="0" collapsed="false">
      <c r="A179" s="31" t="s">
        <v>259</v>
      </c>
      <c r="B179" s="31" t="s">
        <v>29</v>
      </c>
      <c r="C179" s="31" t="s">
        <v>54</v>
      </c>
      <c r="D179" s="31" t="n">
        <v>2013</v>
      </c>
      <c r="E179" s="31" t="s">
        <v>696</v>
      </c>
      <c r="F179" s="31" t="s">
        <v>697</v>
      </c>
      <c r="G179" s="31" t="n">
        <v>6</v>
      </c>
      <c r="H179" s="31" t="n">
        <v>119</v>
      </c>
      <c r="I179" s="31" t="s">
        <v>33</v>
      </c>
      <c r="J179" s="31" t="s">
        <v>139</v>
      </c>
      <c r="K179" s="31" t="s">
        <v>128</v>
      </c>
    </row>
    <row r="180" customFormat="false" ht="15" hidden="false" customHeight="false" outlineLevel="0" collapsed="false">
      <c r="A180" s="31" t="s">
        <v>244</v>
      </c>
      <c r="B180" s="31" t="s">
        <v>32</v>
      </c>
      <c r="C180" s="31" t="s">
        <v>56</v>
      </c>
      <c r="D180" s="31" t="n">
        <v>2012</v>
      </c>
      <c r="E180" s="31" t="s">
        <v>698</v>
      </c>
      <c r="F180" s="31" t="s">
        <v>699</v>
      </c>
      <c r="G180" s="31" t="n">
        <v>7.6</v>
      </c>
      <c r="H180" s="31" t="n">
        <v>82</v>
      </c>
      <c r="I180" s="31" t="s">
        <v>27</v>
      </c>
      <c r="J180" s="31" t="s">
        <v>113</v>
      </c>
      <c r="K180" s="31" t="s">
        <v>104</v>
      </c>
    </row>
    <row r="181" customFormat="false" ht="15" hidden="false" customHeight="false" outlineLevel="0" collapsed="false">
      <c r="A181" s="31" t="s">
        <v>700</v>
      </c>
      <c r="B181" s="31" t="s">
        <v>44</v>
      </c>
      <c r="C181" s="31" t="s">
        <v>49</v>
      </c>
      <c r="D181" s="31" t="n">
        <v>2011</v>
      </c>
      <c r="E181" s="31" t="s">
        <v>701</v>
      </c>
      <c r="F181" s="31" t="s">
        <v>702</v>
      </c>
      <c r="G181" s="31" t="n">
        <v>6.8</v>
      </c>
      <c r="H181" s="31" t="n">
        <v>110</v>
      </c>
      <c r="I181" s="31" t="s">
        <v>30</v>
      </c>
      <c r="J181" s="31" t="s">
        <v>103</v>
      </c>
      <c r="K181" s="31" t="s">
        <v>104</v>
      </c>
    </row>
    <row r="182" customFormat="false" ht="15" hidden="false" customHeight="false" outlineLevel="0" collapsed="false">
      <c r="A182" s="31" t="s">
        <v>295</v>
      </c>
      <c r="B182" s="31" t="s">
        <v>53</v>
      </c>
      <c r="C182" s="32"/>
      <c r="D182" s="31" t="n">
        <v>2018</v>
      </c>
      <c r="E182" s="31" t="s">
        <v>703</v>
      </c>
      <c r="F182" s="31" t="s">
        <v>704</v>
      </c>
      <c r="G182" s="31" t="n">
        <v>6.8</v>
      </c>
      <c r="H182" s="31" t="n">
        <v>118</v>
      </c>
      <c r="I182" s="31" t="s">
        <v>48</v>
      </c>
      <c r="J182" s="31" t="s">
        <v>116</v>
      </c>
      <c r="K182" s="31" t="s">
        <v>104</v>
      </c>
    </row>
    <row r="183" customFormat="false" ht="15" hidden="false" customHeight="false" outlineLevel="0" collapsed="false">
      <c r="A183" s="31" t="s">
        <v>305</v>
      </c>
      <c r="B183" s="31" t="s">
        <v>35</v>
      </c>
      <c r="C183" s="31" t="s">
        <v>76</v>
      </c>
      <c r="D183" s="31" t="n">
        <v>2019</v>
      </c>
      <c r="E183" s="31" t="s">
        <v>705</v>
      </c>
      <c r="F183" s="31" t="s">
        <v>706</v>
      </c>
      <c r="G183" s="31" t="n">
        <v>6</v>
      </c>
      <c r="H183" s="31" t="n">
        <v>98</v>
      </c>
      <c r="I183" s="31" t="s">
        <v>27</v>
      </c>
      <c r="J183" s="31" t="s">
        <v>181</v>
      </c>
      <c r="K183" s="31" t="s">
        <v>128</v>
      </c>
    </row>
    <row r="184" customFormat="false" ht="15" hidden="false" customHeight="false" outlineLevel="0" collapsed="false">
      <c r="A184" s="31" t="s">
        <v>707</v>
      </c>
      <c r="B184" s="31" t="s">
        <v>35</v>
      </c>
      <c r="C184" s="31" t="s">
        <v>67</v>
      </c>
      <c r="D184" s="31" t="n">
        <v>2007</v>
      </c>
      <c r="E184" s="31" t="s">
        <v>708</v>
      </c>
      <c r="F184" s="31" t="s">
        <v>709</v>
      </c>
      <c r="G184" s="31" t="n">
        <v>4.7</v>
      </c>
      <c r="H184" s="31" t="n">
        <v>115</v>
      </c>
      <c r="I184" s="31" t="s">
        <v>30</v>
      </c>
      <c r="J184" s="31" t="s">
        <v>111</v>
      </c>
      <c r="K184" s="31" t="s">
        <v>128</v>
      </c>
    </row>
    <row r="185" customFormat="false" ht="15" hidden="false" customHeight="false" outlineLevel="0" collapsed="false">
      <c r="A185" s="31" t="s">
        <v>349</v>
      </c>
      <c r="B185" s="31" t="s">
        <v>47</v>
      </c>
      <c r="C185" s="31" t="s">
        <v>64</v>
      </c>
      <c r="D185" s="31" t="n">
        <v>2024</v>
      </c>
      <c r="E185" s="31" t="s">
        <v>710</v>
      </c>
      <c r="F185" s="31" t="s">
        <v>711</v>
      </c>
      <c r="G185" s="31" t="n">
        <v>6.4</v>
      </c>
      <c r="H185" s="31" t="n">
        <v>105</v>
      </c>
      <c r="I185" s="31" t="s">
        <v>21</v>
      </c>
      <c r="J185" s="31" t="s">
        <v>181</v>
      </c>
      <c r="K185" s="31" t="s">
        <v>114</v>
      </c>
    </row>
    <row r="186" customFormat="false" ht="15" hidden="false" customHeight="false" outlineLevel="0" collapsed="false">
      <c r="A186" s="31" t="s">
        <v>176</v>
      </c>
      <c r="B186" s="31" t="s">
        <v>26</v>
      </c>
      <c r="C186" s="31" t="s">
        <v>57</v>
      </c>
      <c r="D186" s="31" t="n">
        <v>2004</v>
      </c>
      <c r="E186" s="31" t="s">
        <v>645</v>
      </c>
      <c r="F186" s="31" t="s">
        <v>646</v>
      </c>
      <c r="G186" s="31" t="n">
        <v>6.4</v>
      </c>
      <c r="H186" s="31" t="n">
        <v>124</v>
      </c>
      <c r="I186" s="31" t="s">
        <v>42</v>
      </c>
      <c r="J186" s="31" t="s">
        <v>144</v>
      </c>
      <c r="K186" s="31" t="s">
        <v>146</v>
      </c>
    </row>
    <row r="187" customFormat="false" ht="15" hidden="false" customHeight="false" outlineLevel="0" collapsed="false">
      <c r="A187" s="31" t="s">
        <v>265</v>
      </c>
      <c r="B187" s="31" t="s">
        <v>712</v>
      </c>
      <c r="C187" s="31" t="s">
        <v>31</v>
      </c>
      <c r="D187" s="31" t="n">
        <v>2014</v>
      </c>
      <c r="E187" s="31" t="s">
        <v>713</v>
      </c>
      <c r="F187" s="31" t="s">
        <v>714</v>
      </c>
      <c r="G187" s="32"/>
      <c r="H187" s="31" t="n">
        <v>123</v>
      </c>
      <c r="I187" s="31" t="s">
        <v>30</v>
      </c>
      <c r="J187" s="31" t="s">
        <v>103</v>
      </c>
      <c r="K187" s="32"/>
    </row>
    <row r="188" customFormat="false" ht="15" hidden="false" customHeight="false" outlineLevel="0" collapsed="false">
      <c r="A188" s="31" t="s">
        <v>206</v>
      </c>
      <c r="B188" s="31" t="s">
        <v>41</v>
      </c>
      <c r="C188" s="31" t="s">
        <v>54</v>
      </c>
      <c r="D188" s="31" t="n">
        <v>2007</v>
      </c>
      <c r="E188" s="31" t="s">
        <v>453</v>
      </c>
      <c r="F188" s="31" t="s">
        <v>454</v>
      </c>
      <c r="G188" s="31" t="n">
        <v>5</v>
      </c>
      <c r="H188" s="31" t="n">
        <v>115</v>
      </c>
      <c r="I188" s="31" t="s">
        <v>24</v>
      </c>
      <c r="J188" s="31" t="s">
        <v>152</v>
      </c>
      <c r="K188" s="31" t="s">
        <v>146</v>
      </c>
    </row>
    <row r="189" customFormat="false" ht="15" hidden="false" customHeight="false" outlineLevel="0" collapsed="false">
      <c r="A189" s="31" t="s">
        <v>302</v>
      </c>
      <c r="B189" s="31" t="s">
        <v>41</v>
      </c>
      <c r="C189" s="31" t="s">
        <v>69</v>
      </c>
      <c r="D189" s="31" t="n">
        <v>2019</v>
      </c>
      <c r="E189" s="31" t="s">
        <v>715</v>
      </c>
      <c r="F189" s="31" t="s">
        <v>716</v>
      </c>
      <c r="G189" s="31" t="n">
        <v>8.2</v>
      </c>
      <c r="H189" s="31" t="n">
        <v>147</v>
      </c>
      <c r="I189" s="31" t="s">
        <v>48</v>
      </c>
      <c r="J189" s="31" t="s">
        <v>121</v>
      </c>
      <c r="K189" s="31" t="s">
        <v>128</v>
      </c>
    </row>
    <row r="190" customFormat="false" ht="15" hidden="false" customHeight="false" outlineLevel="0" collapsed="false">
      <c r="A190" s="31" t="s">
        <v>231</v>
      </c>
      <c r="B190" s="31" t="s">
        <v>32</v>
      </c>
      <c r="C190" s="31" t="s">
        <v>31</v>
      </c>
      <c r="D190" s="31" t="n">
        <v>2010</v>
      </c>
      <c r="E190" s="31" t="s">
        <v>717</v>
      </c>
      <c r="F190" s="31" t="s">
        <v>718</v>
      </c>
      <c r="G190" s="31" t="n">
        <v>8.9</v>
      </c>
      <c r="H190" s="31" t="n">
        <v>96</v>
      </c>
      <c r="I190" s="31" t="s">
        <v>27</v>
      </c>
      <c r="J190" s="31" t="s">
        <v>113</v>
      </c>
      <c r="K190" s="31" t="s">
        <v>122</v>
      </c>
    </row>
    <row r="191" customFormat="false" ht="15" hidden="false" customHeight="false" outlineLevel="0" collapsed="false">
      <c r="A191" s="31" t="s">
        <v>719</v>
      </c>
      <c r="B191" s="31" t="s">
        <v>29</v>
      </c>
      <c r="C191" s="31" t="s">
        <v>63</v>
      </c>
      <c r="D191" s="31" t="n">
        <v>2015</v>
      </c>
      <c r="E191" s="31" t="s">
        <v>720</v>
      </c>
      <c r="F191" s="31" t="s">
        <v>721</v>
      </c>
      <c r="G191" s="31" t="n">
        <v>5.1</v>
      </c>
      <c r="H191" s="31" t="n">
        <v>86</v>
      </c>
      <c r="I191" s="31" t="s">
        <v>36</v>
      </c>
      <c r="J191" s="31" t="s">
        <v>116</v>
      </c>
      <c r="K191" s="31" t="s">
        <v>128</v>
      </c>
    </row>
    <row r="192" customFormat="false" ht="15" hidden="false" customHeight="false" outlineLevel="0" collapsed="false">
      <c r="A192" s="31" t="s">
        <v>169</v>
      </c>
      <c r="B192" s="31" t="s">
        <v>41</v>
      </c>
      <c r="C192" s="31" t="s">
        <v>54</v>
      </c>
      <c r="D192" s="31" t="n">
        <v>2004</v>
      </c>
      <c r="E192" s="31" t="s">
        <v>722</v>
      </c>
      <c r="F192" s="31" t="s">
        <v>723</v>
      </c>
      <c r="G192" s="31" t="n">
        <v>8.3</v>
      </c>
      <c r="H192" s="31" t="n">
        <v>107</v>
      </c>
      <c r="I192" s="31" t="s">
        <v>48</v>
      </c>
      <c r="J192" s="31" t="s">
        <v>170</v>
      </c>
      <c r="K192" s="31" t="s">
        <v>109</v>
      </c>
    </row>
    <row r="193" customFormat="false" ht="15" hidden="false" customHeight="false" outlineLevel="0" collapsed="false">
      <c r="A193" s="31" t="s">
        <v>235</v>
      </c>
      <c r="B193" s="31" t="s">
        <v>38</v>
      </c>
      <c r="C193" s="31" t="s">
        <v>63</v>
      </c>
      <c r="D193" s="31" t="n">
        <v>2011</v>
      </c>
      <c r="E193" s="31" t="s">
        <v>724</v>
      </c>
      <c r="F193" s="31" t="s">
        <v>725</v>
      </c>
      <c r="G193" s="31" t="n">
        <v>4.9</v>
      </c>
      <c r="H193" s="31" t="n">
        <v>134</v>
      </c>
      <c r="I193" s="31" t="s">
        <v>33</v>
      </c>
      <c r="J193" s="31" t="s">
        <v>116</v>
      </c>
      <c r="K193" s="31" t="s">
        <v>136</v>
      </c>
    </row>
    <row r="194" customFormat="false" ht="15" hidden="false" customHeight="false" outlineLevel="0" collapsed="false">
      <c r="A194" s="31" t="s">
        <v>149</v>
      </c>
      <c r="B194" s="31" t="s">
        <v>20</v>
      </c>
      <c r="C194" s="31" t="s">
        <v>60</v>
      </c>
      <c r="D194" s="31" t="n">
        <v>2002</v>
      </c>
      <c r="E194" s="31" t="s">
        <v>726</v>
      </c>
      <c r="F194" s="31" t="s">
        <v>727</v>
      </c>
      <c r="G194" s="31" t="n">
        <v>8.2</v>
      </c>
      <c r="H194" s="31" t="n">
        <v>127</v>
      </c>
      <c r="I194" s="31" t="s">
        <v>36</v>
      </c>
      <c r="J194" s="31" t="s">
        <v>125</v>
      </c>
      <c r="K194" s="31" t="s">
        <v>114</v>
      </c>
    </row>
    <row r="195" customFormat="false" ht="15" hidden="false" customHeight="false" outlineLevel="0" collapsed="false">
      <c r="A195" s="31" t="s">
        <v>728</v>
      </c>
      <c r="B195" s="31" t="s">
        <v>26</v>
      </c>
      <c r="C195" s="31" t="s">
        <v>65</v>
      </c>
      <c r="D195" s="31" t="n">
        <v>2013</v>
      </c>
      <c r="E195" s="31" t="s">
        <v>575</v>
      </c>
      <c r="F195" s="31" t="s">
        <v>576</v>
      </c>
      <c r="G195" s="31" t="n">
        <v>4.9</v>
      </c>
      <c r="H195" s="31" t="n">
        <v>83</v>
      </c>
      <c r="I195" s="31" t="s">
        <v>27</v>
      </c>
      <c r="J195" s="31" t="s">
        <v>111</v>
      </c>
      <c r="K195" s="31" t="s">
        <v>136</v>
      </c>
    </row>
    <row r="196" customFormat="false" ht="15" hidden="false" customHeight="false" outlineLevel="0" collapsed="false">
      <c r="A196" s="31" t="s">
        <v>245</v>
      </c>
      <c r="B196" s="31" t="s">
        <v>23</v>
      </c>
      <c r="C196" s="31" t="s">
        <v>63</v>
      </c>
      <c r="D196" s="31" t="n">
        <v>2012</v>
      </c>
      <c r="E196" s="31" t="s">
        <v>729</v>
      </c>
      <c r="F196" s="31" t="s">
        <v>730</v>
      </c>
      <c r="G196" s="31" t="n">
        <v>7.6</v>
      </c>
      <c r="H196" s="31" t="n">
        <v>109</v>
      </c>
      <c r="I196" s="31" t="s">
        <v>30</v>
      </c>
      <c r="J196" s="31" t="s">
        <v>103</v>
      </c>
      <c r="K196" s="31" t="s">
        <v>122</v>
      </c>
    </row>
    <row r="197" customFormat="false" ht="15" hidden="false" customHeight="false" outlineLevel="0" collapsed="false">
      <c r="A197" s="31" t="s">
        <v>301</v>
      </c>
      <c r="B197" s="31" t="s">
        <v>47</v>
      </c>
      <c r="C197" s="31" t="s">
        <v>63</v>
      </c>
      <c r="D197" s="31" t="n">
        <v>2019</v>
      </c>
      <c r="E197" s="31" t="s">
        <v>731</v>
      </c>
      <c r="F197" s="31" t="s">
        <v>732</v>
      </c>
      <c r="G197" s="31" t="n">
        <v>6.5</v>
      </c>
      <c r="H197" s="31" t="n">
        <v>118</v>
      </c>
      <c r="I197" s="31" t="s">
        <v>21</v>
      </c>
      <c r="J197" s="31" t="s">
        <v>154</v>
      </c>
      <c r="K197" s="31" t="s">
        <v>119</v>
      </c>
    </row>
    <row r="198" customFormat="false" ht="15" hidden="false" customHeight="false" outlineLevel="0" collapsed="false">
      <c r="A198" s="31" t="s">
        <v>312</v>
      </c>
      <c r="B198" s="31" t="s">
        <v>32</v>
      </c>
      <c r="C198" s="31" t="s">
        <v>28</v>
      </c>
      <c r="D198" s="31" t="n">
        <v>2020</v>
      </c>
      <c r="E198" s="31" t="s">
        <v>733</v>
      </c>
      <c r="F198" s="31" t="s">
        <v>734</v>
      </c>
      <c r="G198" s="31" t="n">
        <v>6.8</v>
      </c>
      <c r="H198" s="31" t="n">
        <v>141</v>
      </c>
      <c r="I198" s="31" t="s">
        <v>39</v>
      </c>
      <c r="J198" s="31" t="s">
        <v>170</v>
      </c>
      <c r="K198" s="31" t="s">
        <v>131</v>
      </c>
    </row>
    <row r="199" customFormat="false" ht="15" hidden="false" customHeight="false" outlineLevel="0" collapsed="false">
      <c r="A199" s="31" t="s">
        <v>210</v>
      </c>
      <c r="B199" s="31" t="s">
        <v>41</v>
      </c>
      <c r="C199" s="31" t="s">
        <v>28</v>
      </c>
      <c r="D199" s="31" t="n">
        <v>2008</v>
      </c>
      <c r="E199" s="31" t="s">
        <v>735</v>
      </c>
      <c r="F199" s="31" t="s">
        <v>736</v>
      </c>
      <c r="G199" s="31" t="n">
        <v>6.6</v>
      </c>
      <c r="H199" s="31" t="n">
        <v>108</v>
      </c>
      <c r="I199" s="31" t="s">
        <v>24</v>
      </c>
      <c r="J199" s="31" t="s">
        <v>111</v>
      </c>
      <c r="K199" s="31" t="s">
        <v>109</v>
      </c>
    </row>
    <row r="200" customFormat="false" ht="15" hidden="false" customHeight="false" outlineLevel="0" collapsed="false">
      <c r="A200" s="31" t="s">
        <v>137</v>
      </c>
      <c r="B200" s="31" t="s">
        <v>47</v>
      </c>
      <c r="C200" s="31" t="s">
        <v>65</v>
      </c>
      <c r="D200" s="31" t="n">
        <v>2002</v>
      </c>
      <c r="E200" s="31" t="s">
        <v>469</v>
      </c>
      <c r="F200" s="31" t="s">
        <v>470</v>
      </c>
      <c r="G200" s="31" t="n">
        <v>5.5</v>
      </c>
      <c r="H200" s="31" t="n">
        <v>83</v>
      </c>
      <c r="I200" s="31" t="s">
        <v>30</v>
      </c>
      <c r="J200" s="31" t="s">
        <v>116</v>
      </c>
      <c r="K200" s="31" t="s">
        <v>128</v>
      </c>
    </row>
    <row r="201" customFormat="false" ht="15" hidden="false" customHeight="false" outlineLevel="0" collapsed="false">
      <c r="A201" s="31" t="s">
        <v>227</v>
      </c>
      <c r="B201" s="31" t="s">
        <v>44</v>
      </c>
      <c r="C201" s="31" t="s">
        <v>56</v>
      </c>
      <c r="D201" s="31" t="n">
        <v>2010</v>
      </c>
      <c r="E201" s="31" t="s">
        <v>737</v>
      </c>
      <c r="F201" s="31" t="s">
        <v>738</v>
      </c>
      <c r="G201" s="31" t="n">
        <v>6.8</v>
      </c>
      <c r="H201" s="31" t="n">
        <v>97</v>
      </c>
      <c r="I201" s="31" t="s">
        <v>48</v>
      </c>
      <c r="J201" s="31" t="s">
        <v>113</v>
      </c>
      <c r="K201" s="31" t="s">
        <v>461</v>
      </c>
    </row>
    <row r="202" customFormat="false" ht="15" hidden="false" customHeight="false" outlineLevel="0" collapsed="false">
      <c r="A202" s="31" t="s">
        <v>135</v>
      </c>
      <c r="B202" s="31" t="s">
        <v>712</v>
      </c>
      <c r="C202" s="31" t="s">
        <v>65</v>
      </c>
      <c r="D202" s="31" t="n">
        <v>2002</v>
      </c>
      <c r="E202" s="31" t="s">
        <v>739</v>
      </c>
      <c r="F202" s="31" t="s">
        <v>740</v>
      </c>
      <c r="G202" s="31" t="n">
        <v>9</v>
      </c>
      <c r="H202" s="31" t="n">
        <v>104</v>
      </c>
      <c r="I202" s="31" t="s">
        <v>27</v>
      </c>
      <c r="J202" s="31" t="s">
        <v>121</v>
      </c>
      <c r="K202" s="31" t="s">
        <v>136</v>
      </c>
    </row>
    <row r="203" customFormat="false" ht="15" hidden="false" customHeight="false" outlineLevel="0" collapsed="false">
      <c r="A203" s="31" t="s">
        <v>276</v>
      </c>
      <c r="B203" s="31" t="s">
        <v>41</v>
      </c>
      <c r="C203" s="31" t="s">
        <v>77</v>
      </c>
      <c r="D203" s="31" t="n">
        <v>2016</v>
      </c>
      <c r="E203" s="31" t="s">
        <v>741</v>
      </c>
      <c r="F203" s="31" t="s">
        <v>742</v>
      </c>
      <c r="G203" s="31" t="n">
        <v>7.4</v>
      </c>
      <c r="H203" s="31" t="n">
        <v>87</v>
      </c>
      <c r="I203" s="31" t="s">
        <v>24</v>
      </c>
      <c r="J203" s="31" t="s">
        <v>125</v>
      </c>
      <c r="K203" s="32"/>
    </row>
    <row r="204" customFormat="false" ht="15" hidden="false" customHeight="false" outlineLevel="0" collapsed="false">
      <c r="A204" s="31" t="s">
        <v>199</v>
      </c>
      <c r="B204" s="31" t="s">
        <v>38</v>
      </c>
      <c r="C204" s="31" t="s">
        <v>77</v>
      </c>
      <c r="D204" s="31" t="n">
        <v>2007</v>
      </c>
      <c r="E204" s="31" t="s">
        <v>743</v>
      </c>
      <c r="F204" s="31" t="s">
        <v>744</v>
      </c>
      <c r="G204" s="32"/>
      <c r="H204" s="31" t="n">
        <v>100</v>
      </c>
      <c r="I204" s="31" t="s">
        <v>42</v>
      </c>
      <c r="J204" s="31" t="s">
        <v>111</v>
      </c>
      <c r="K204" s="31" t="s">
        <v>141</v>
      </c>
    </row>
    <row r="205" customFormat="false" ht="15" hidden="false" customHeight="false" outlineLevel="0" collapsed="false">
      <c r="A205" s="31" t="s">
        <v>204</v>
      </c>
      <c r="B205" s="31" t="s">
        <v>35</v>
      </c>
      <c r="C205" s="31" t="s">
        <v>54</v>
      </c>
      <c r="D205" s="31" t="n">
        <v>2007</v>
      </c>
      <c r="E205" s="31" t="s">
        <v>745</v>
      </c>
      <c r="F205" s="31" t="s">
        <v>746</v>
      </c>
      <c r="G205" s="31" t="n">
        <v>5.6</v>
      </c>
      <c r="H205" s="31" t="n">
        <v>126</v>
      </c>
      <c r="I205" s="31" t="s">
        <v>42</v>
      </c>
      <c r="J205" s="31" t="s">
        <v>121</v>
      </c>
      <c r="K205" s="31" t="s">
        <v>131</v>
      </c>
    </row>
    <row r="206" customFormat="false" ht="15" hidden="false" customHeight="false" outlineLevel="0" collapsed="false">
      <c r="A206" s="31" t="s">
        <v>250</v>
      </c>
      <c r="B206" s="31" t="s">
        <v>38</v>
      </c>
      <c r="C206" s="31" t="s">
        <v>72</v>
      </c>
      <c r="D206" s="31" t="n">
        <v>2012</v>
      </c>
      <c r="E206" s="31" t="s">
        <v>747</v>
      </c>
      <c r="F206" s="31" t="s">
        <v>748</v>
      </c>
      <c r="G206" s="31" t="n">
        <v>6.4</v>
      </c>
      <c r="H206" s="31" t="n">
        <v>131</v>
      </c>
      <c r="I206" s="31" t="s">
        <v>33</v>
      </c>
      <c r="J206" s="31" t="s">
        <v>154</v>
      </c>
      <c r="K206" s="32"/>
    </row>
    <row r="207" customFormat="false" ht="15" hidden="false" customHeight="false" outlineLevel="0" collapsed="false">
      <c r="A207" s="31" t="s">
        <v>301</v>
      </c>
      <c r="B207" s="31" t="s">
        <v>47</v>
      </c>
      <c r="C207" s="31" t="s">
        <v>63</v>
      </c>
      <c r="D207" s="31" t="n">
        <v>2019</v>
      </c>
      <c r="E207" s="31" t="s">
        <v>731</v>
      </c>
      <c r="F207" s="31" t="s">
        <v>732</v>
      </c>
      <c r="G207" s="31" t="n">
        <v>6.5</v>
      </c>
      <c r="H207" s="31" t="n">
        <v>118</v>
      </c>
      <c r="I207" s="31" t="s">
        <v>21</v>
      </c>
      <c r="J207" s="31" t="s">
        <v>154</v>
      </c>
      <c r="K207" s="31" t="s">
        <v>119</v>
      </c>
    </row>
    <row r="208" customFormat="false" ht="15" hidden="false" customHeight="false" outlineLevel="0" collapsed="false">
      <c r="A208" s="31" t="s">
        <v>168</v>
      </c>
      <c r="B208" s="31" t="s">
        <v>23</v>
      </c>
      <c r="C208" s="31" t="s">
        <v>63</v>
      </c>
      <c r="D208" s="31" t="n">
        <v>2004</v>
      </c>
      <c r="E208" s="31" t="s">
        <v>749</v>
      </c>
      <c r="F208" s="31" t="s">
        <v>750</v>
      </c>
      <c r="G208" s="31" t="n">
        <v>7.6</v>
      </c>
      <c r="H208" s="31" t="n">
        <v>121</v>
      </c>
      <c r="I208" s="31" t="s">
        <v>27</v>
      </c>
      <c r="J208" s="31" t="s">
        <v>154</v>
      </c>
      <c r="K208" s="31" t="s">
        <v>109</v>
      </c>
    </row>
    <row r="209" customFormat="false" ht="15" hidden="false" customHeight="false" outlineLevel="0" collapsed="false">
      <c r="A209" s="31" t="s">
        <v>132</v>
      </c>
      <c r="B209" s="31" t="s">
        <v>26</v>
      </c>
      <c r="C209" s="31" t="s">
        <v>40</v>
      </c>
      <c r="D209" s="31" t="n">
        <v>2002</v>
      </c>
      <c r="E209" s="31" t="s">
        <v>432</v>
      </c>
      <c r="F209" s="31" t="s">
        <v>433</v>
      </c>
      <c r="G209" s="31" t="n">
        <v>7.2</v>
      </c>
      <c r="H209" s="31" t="n">
        <v>110</v>
      </c>
      <c r="I209" s="31" t="s">
        <v>27</v>
      </c>
      <c r="J209" s="31" t="s">
        <v>118</v>
      </c>
      <c r="K209" s="31" t="s">
        <v>131</v>
      </c>
    </row>
    <row r="210" customFormat="false" ht="15" hidden="false" customHeight="false" outlineLevel="0" collapsed="false">
      <c r="A210" s="31" t="s">
        <v>230</v>
      </c>
      <c r="B210" s="31" t="s">
        <v>38</v>
      </c>
      <c r="C210" s="31" t="s">
        <v>63</v>
      </c>
      <c r="D210" s="31" t="n">
        <v>2010</v>
      </c>
      <c r="E210" s="31" t="s">
        <v>751</v>
      </c>
      <c r="F210" s="31" t="s">
        <v>752</v>
      </c>
      <c r="G210" s="31" t="n">
        <v>6.6</v>
      </c>
      <c r="H210" s="31" t="n">
        <v>90</v>
      </c>
      <c r="I210" s="31" t="s">
        <v>45</v>
      </c>
      <c r="J210" s="31" t="s">
        <v>154</v>
      </c>
      <c r="K210" s="31" t="s">
        <v>141</v>
      </c>
    </row>
    <row r="211" customFormat="false" ht="15" hidden="false" customHeight="false" outlineLevel="0" collapsed="false">
      <c r="A211" s="31" t="s">
        <v>134</v>
      </c>
      <c r="B211" s="31" t="s">
        <v>44</v>
      </c>
      <c r="C211" s="31" t="s">
        <v>56</v>
      </c>
      <c r="D211" s="31" t="n">
        <v>2002</v>
      </c>
      <c r="E211" s="31" t="s">
        <v>753</v>
      </c>
      <c r="F211" s="31" t="s">
        <v>754</v>
      </c>
      <c r="G211" s="31" t="n">
        <v>6.6</v>
      </c>
      <c r="H211" s="31" t="n">
        <v>104</v>
      </c>
      <c r="I211" s="31" t="s">
        <v>39</v>
      </c>
      <c r="J211" s="31" t="s">
        <v>121</v>
      </c>
      <c r="K211" s="31" t="s">
        <v>114</v>
      </c>
    </row>
    <row r="212" customFormat="false" ht="15" hidden="false" customHeight="false" outlineLevel="0" collapsed="false">
      <c r="A212" s="31" t="s">
        <v>157</v>
      </c>
      <c r="B212" s="31" t="s">
        <v>41</v>
      </c>
      <c r="C212" s="31" t="s">
        <v>77</v>
      </c>
      <c r="D212" s="31" t="n">
        <v>2003</v>
      </c>
      <c r="E212" s="31" t="s">
        <v>755</v>
      </c>
      <c r="F212" s="31" t="s">
        <v>756</v>
      </c>
      <c r="G212" s="31" t="n">
        <v>6.5</v>
      </c>
      <c r="H212" s="31" t="n">
        <v>147</v>
      </c>
      <c r="I212" s="31" t="s">
        <v>33</v>
      </c>
      <c r="J212" s="31" t="s">
        <v>121</v>
      </c>
      <c r="K212" s="31" t="s">
        <v>128</v>
      </c>
    </row>
    <row r="213" customFormat="false" ht="15" hidden="false" customHeight="false" outlineLevel="0" collapsed="false">
      <c r="A213" s="31" t="s">
        <v>117</v>
      </c>
      <c r="B213" s="31" t="s">
        <v>44</v>
      </c>
      <c r="C213" s="31" t="s">
        <v>43</v>
      </c>
      <c r="D213" s="31" t="n">
        <v>2000</v>
      </c>
      <c r="E213" s="31" t="s">
        <v>757</v>
      </c>
      <c r="F213" s="31" t="s">
        <v>758</v>
      </c>
      <c r="G213" s="31" t="n">
        <v>6.2</v>
      </c>
      <c r="H213" s="31" t="n">
        <v>166</v>
      </c>
      <c r="I213" s="31" t="s">
        <v>27</v>
      </c>
      <c r="J213" s="31" t="s">
        <v>118</v>
      </c>
      <c r="K213" s="31" t="s">
        <v>119</v>
      </c>
    </row>
    <row r="214" customFormat="false" ht="15" hidden="false" customHeight="false" outlineLevel="0" collapsed="false">
      <c r="A214" s="31" t="s">
        <v>333</v>
      </c>
      <c r="B214" s="31" t="s">
        <v>29</v>
      </c>
      <c r="C214" s="31" t="s">
        <v>25</v>
      </c>
      <c r="D214" s="31" t="n">
        <v>2022</v>
      </c>
      <c r="E214" s="32"/>
      <c r="F214" s="31" t="s">
        <v>759</v>
      </c>
      <c r="G214" s="31" t="n">
        <v>5.5</v>
      </c>
      <c r="H214" s="31" t="n">
        <v>164</v>
      </c>
      <c r="I214" s="31" t="s">
        <v>45</v>
      </c>
      <c r="J214" s="31" t="s">
        <v>111</v>
      </c>
      <c r="K214" s="31" t="s">
        <v>119</v>
      </c>
    </row>
    <row r="215" customFormat="false" ht="15" hidden="false" customHeight="false" outlineLevel="0" collapsed="false">
      <c r="A215" s="31" t="s">
        <v>279</v>
      </c>
      <c r="B215" s="31" t="s">
        <v>458</v>
      </c>
      <c r="C215" s="31" t="s">
        <v>72</v>
      </c>
      <c r="D215" s="31" t="n">
        <v>2016</v>
      </c>
      <c r="E215" s="31" t="s">
        <v>760</v>
      </c>
      <c r="F215" s="32"/>
      <c r="G215" s="31" t="n">
        <v>6.6</v>
      </c>
      <c r="H215" s="31" t="n">
        <v>75</v>
      </c>
      <c r="I215" s="31" t="s">
        <v>21</v>
      </c>
      <c r="J215" s="31" t="s">
        <v>116</v>
      </c>
      <c r="K215" s="31" t="s">
        <v>131</v>
      </c>
    </row>
    <row r="216" customFormat="false" ht="15" hidden="false" customHeight="false" outlineLevel="0" collapsed="false">
      <c r="A216" s="31" t="s">
        <v>238</v>
      </c>
      <c r="B216" s="31" t="s">
        <v>35</v>
      </c>
      <c r="C216" s="31" t="s">
        <v>61</v>
      </c>
      <c r="D216" s="31" t="n">
        <v>2011</v>
      </c>
      <c r="E216" s="31" t="s">
        <v>761</v>
      </c>
      <c r="F216" s="31" t="s">
        <v>762</v>
      </c>
      <c r="G216" s="31" t="n">
        <v>5.2</v>
      </c>
      <c r="H216" s="31" t="n">
        <v>119</v>
      </c>
      <c r="I216" s="31" t="s">
        <v>45</v>
      </c>
      <c r="J216" s="31" t="s">
        <v>139</v>
      </c>
      <c r="K216" s="31" t="s">
        <v>114</v>
      </c>
    </row>
    <row r="217" customFormat="false" ht="15" hidden="false" customHeight="false" outlineLevel="0" collapsed="false">
      <c r="A217" s="31" t="s">
        <v>124</v>
      </c>
      <c r="B217" s="31" t="s">
        <v>50</v>
      </c>
      <c r="C217" s="31" t="s">
        <v>34</v>
      </c>
      <c r="D217" s="31" t="n">
        <v>2001</v>
      </c>
      <c r="E217" s="31" t="s">
        <v>763</v>
      </c>
      <c r="F217" s="31" t="s">
        <v>764</v>
      </c>
      <c r="G217" s="31" t="n">
        <v>7.3</v>
      </c>
      <c r="H217" s="31" t="n">
        <v>79</v>
      </c>
      <c r="I217" s="31" t="s">
        <v>30</v>
      </c>
      <c r="J217" s="31" t="s">
        <v>125</v>
      </c>
      <c r="K217" s="31" t="s">
        <v>461</v>
      </c>
    </row>
    <row r="218" customFormat="false" ht="15" hidden="false" customHeight="false" outlineLevel="0" collapsed="false">
      <c r="A218" s="31" t="s">
        <v>187</v>
      </c>
      <c r="B218" s="31" t="s">
        <v>53</v>
      </c>
      <c r="C218" s="31" t="s">
        <v>54</v>
      </c>
      <c r="D218" s="31" t="n">
        <v>2005</v>
      </c>
      <c r="E218" s="31" t="s">
        <v>765</v>
      </c>
      <c r="F218" s="31" t="s">
        <v>766</v>
      </c>
      <c r="G218" s="31" t="n">
        <v>7.3</v>
      </c>
      <c r="H218" s="31" t="n">
        <v>124</v>
      </c>
      <c r="I218" s="31" t="s">
        <v>42</v>
      </c>
      <c r="J218" s="31" t="s">
        <v>144</v>
      </c>
      <c r="K218" s="31" t="s">
        <v>104</v>
      </c>
    </row>
    <row r="219" customFormat="false" ht="15" hidden="false" customHeight="false" outlineLevel="0" collapsed="false">
      <c r="A219" s="31" t="s">
        <v>165</v>
      </c>
      <c r="B219" s="31" t="s">
        <v>50</v>
      </c>
      <c r="C219" s="31" t="s">
        <v>55</v>
      </c>
      <c r="D219" s="31" t="n">
        <v>2004</v>
      </c>
      <c r="E219" s="31" t="s">
        <v>767</v>
      </c>
      <c r="F219" s="31" t="s">
        <v>768</v>
      </c>
      <c r="G219" s="31" t="n">
        <v>7.2</v>
      </c>
      <c r="H219" s="31" t="n">
        <v>142</v>
      </c>
      <c r="I219" s="31" t="s">
        <v>48</v>
      </c>
      <c r="J219" s="31" t="s">
        <v>139</v>
      </c>
      <c r="K219" s="31" t="s">
        <v>136</v>
      </c>
    </row>
    <row r="220" customFormat="false" ht="15" hidden="false" customHeight="false" outlineLevel="0" collapsed="false">
      <c r="A220" s="31" t="s">
        <v>203</v>
      </c>
      <c r="B220" s="31" t="s">
        <v>32</v>
      </c>
      <c r="C220" s="31" t="s">
        <v>58</v>
      </c>
      <c r="D220" s="31" t="n">
        <v>2007</v>
      </c>
      <c r="E220" s="31" t="s">
        <v>769</v>
      </c>
      <c r="F220" s="31" t="s">
        <v>545</v>
      </c>
      <c r="G220" s="31" t="n">
        <v>6.1</v>
      </c>
      <c r="H220" s="31" t="n">
        <v>135</v>
      </c>
      <c r="I220" s="31" t="s">
        <v>27</v>
      </c>
      <c r="J220" s="31" t="s">
        <v>118</v>
      </c>
      <c r="K220" s="31" t="s">
        <v>119</v>
      </c>
    </row>
    <row r="221" customFormat="false" ht="15" hidden="false" customHeight="false" outlineLevel="0" collapsed="false">
      <c r="A221" s="31" t="s">
        <v>322</v>
      </c>
      <c r="B221" s="31" t="s">
        <v>32</v>
      </c>
      <c r="C221" s="31" t="s">
        <v>72</v>
      </c>
      <c r="D221" s="31" t="n">
        <v>2021</v>
      </c>
      <c r="E221" s="31" t="s">
        <v>770</v>
      </c>
      <c r="F221" s="31" t="s">
        <v>771</v>
      </c>
      <c r="G221" s="31" t="n">
        <v>7.1</v>
      </c>
      <c r="H221" s="31" t="n">
        <v>140</v>
      </c>
      <c r="I221" s="31" t="s">
        <v>24</v>
      </c>
      <c r="J221" s="31" t="s">
        <v>106</v>
      </c>
      <c r="K221" s="31" t="s">
        <v>136</v>
      </c>
    </row>
    <row r="222" customFormat="false" ht="15" hidden="false" customHeight="false" outlineLevel="0" collapsed="false">
      <c r="A222" s="31" t="s">
        <v>700</v>
      </c>
      <c r="B222" s="31" t="s">
        <v>44</v>
      </c>
      <c r="C222" s="32"/>
      <c r="D222" s="31" t="n">
        <v>2011</v>
      </c>
      <c r="E222" s="32"/>
      <c r="F222" s="31" t="s">
        <v>702</v>
      </c>
      <c r="G222" s="31" t="n">
        <v>6.8</v>
      </c>
      <c r="H222" s="31" t="n">
        <v>110</v>
      </c>
      <c r="I222" s="31" t="s">
        <v>30</v>
      </c>
      <c r="J222" s="31" t="s">
        <v>103</v>
      </c>
      <c r="K222" s="31" t="s">
        <v>104</v>
      </c>
    </row>
    <row r="223" customFormat="false" ht="15" hidden="false" customHeight="false" outlineLevel="0" collapsed="false">
      <c r="A223" s="31" t="s">
        <v>772</v>
      </c>
      <c r="B223" s="31" t="s">
        <v>35</v>
      </c>
      <c r="C223" s="31" t="s">
        <v>58</v>
      </c>
      <c r="D223" s="31" t="n">
        <v>2004</v>
      </c>
      <c r="E223" s="32"/>
      <c r="F223" s="31" t="s">
        <v>773</v>
      </c>
      <c r="G223" s="31" t="n">
        <v>5.1</v>
      </c>
      <c r="H223" s="31" t="n">
        <v>147</v>
      </c>
      <c r="I223" s="31" t="s">
        <v>42</v>
      </c>
      <c r="J223" s="31" t="s">
        <v>113</v>
      </c>
      <c r="K223" s="31" t="s">
        <v>128</v>
      </c>
    </row>
    <row r="224" customFormat="false" ht="15" hidden="false" customHeight="false" outlineLevel="0" collapsed="false">
      <c r="A224" s="31" t="s">
        <v>320</v>
      </c>
      <c r="B224" s="31" t="s">
        <v>50</v>
      </c>
      <c r="C224" s="31" t="s">
        <v>64</v>
      </c>
      <c r="D224" s="31" t="n">
        <v>2020</v>
      </c>
      <c r="E224" s="31" t="s">
        <v>774</v>
      </c>
      <c r="F224" s="31" t="s">
        <v>775</v>
      </c>
      <c r="G224" s="31" t="n">
        <v>5.4</v>
      </c>
      <c r="H224" s="31" t="n">
        <v>121</v>
      </c>
      <c r="I224" s="31" t="s">
        <v>39</v>
      </c>
      <c r="J224" s="31" t="s">
        <v>170</v>
      </c>
      <c r="K224" s="31" t="s">
        <v>119</v>
      </c>
    </row>
    <row r="225" customFormat="false" ht="15" hidden="false" customHeight="false" outlineLevel="0" collapsed="false">
      <c r="A225" s="31" t="s">
        <v>108</v>
      </c>
      <c r="B225" s="31" t="s">
        <v>23</v>
      </c>
      <c r="C225" s="31" t="s">
        <v>43</v>
      </c>
      <c r="D225" s="31" t="n">
        <v>2000</v>
      </c>
      <c r="E225" s="31" t="s">
        <v>776</v>
      </c>
      <c r="F225" s="31" t="s">
        <v>777</v>
      </c>
      <c r="G225" s="31" t="n">
        <v>7.9</v>
      </c>
      <c r="H225" s="32"/>
      <c r="I225" s="31" t="s">
        <v>36</v>
      </c>
      <c r="J225" s="31" t="s">
        <v>103</v>
      </c>
      <c r="K225" s="31" t="s">
        <v>109</v>
      </c>
    </row>
    <row r="226" customFormat="false" ht="15" hidden="false" customHeight="false" outlineLevel="0" collapsed="false">
      <c r="A226" s="31" t="s">
        <v>217</v>
      </c>
      <c r="B226" s="31" t="s">
        <v>29</v>
      </c>
      <c r="C226" s="31" t="s">
        <v>40</v>
      </c>
      <c r="D226" s="31" t="n">
        <v>2009</v>
      </c>
      <c r="E226" s="31" t="s">
        <v>776</v>
      </c>
      <c r="F226" s="31" t="s">
        <v>778</v>
      </c>
      <c r="G226" s="31" t="n">
        <v>7.1</v>
      </c>
      <c r="H226" s="31" t="n">
        <v>107</v>
      </c>
      <c r="I226" s="31" t="s">
        <v>27</v>
      </c>
      <c r="J226" s="31" t="s">
        <v>152</v>
      </c>
      <c r="K226" s="31" t="s">
        <v>122</v>
      </c>
    </row>
    <row r="227" customFormat="false" ht="15" hidden="false" customHeight="false" outlineLevel="0" collapsed="false">
      <c r="A227" s="31" t="s">
        <v>237</v>
      </c>
      <c r="B227" s="31" t="s">
        <v>32</v>
      </c>
      <c r="C227" s="31" t="s">
        <v>55</v>
      </c>
      <c r="D227" s="31" t="n">
        <v>2011</v>
      </c>
      <c r="E227" s="31" t="s">
        <v>779</v>
      </c>
      <c r="F227" s="31" t="s">
        <v>780</v>
      </c>
      <c r="G227" s="31" t="n">
        <v>6.5</v>
      </c>
      <c r="H227" s="31" t="n">
        <v>147</v>
      </c>
      <c r="I227" s="31" t="s">
        <v>33</v>
      </c>
      <c r="J227" s="31" t="s">
        <v>181</v>
      </c>
      <c r="K227" s="31" t="s">
        <v>109</v>
      </c>
    </row>
    <row r="228" customFormat="false" ht="15" hidden="false" customHeight="false" outlineLevel="0" collapsed="false">
      <c r="A228" s="31" t="s">
        <v>284</v>
      </c>
      <c r="B228" s="31" t="s">
        <v>38</v>
      </c>
      <c r="C228" s="31" t="s">
        <v>54</v>
      </c>
      <c r="D228" s="31" t="n">
        <v>2017</v>
      </c>
      <c r="E228" s="31" t="s">
        <v>781</v>
      </c>
      <c r="F228" s="31" t="s">
        <v>782</v>
      </c>
      <c r="G228" s="31" t="n">
        <v>5.5</v>
      </c>
      <c r="H228" s="31" t="n">
        <v>95</v>
      </c>
      <c r="I228" s="31" t="s">
        <v>24</v>
      </c>
      <c r="J228" s="31" t="s">
        <v>121</v>
      </c>
      <c r="K228" s="31" t="s">
        <v>109</v>
      </c>
    </row>
    <row r="229" customFormat="false" ht="15" hidden="false" customHeight="false" outlineLevel="0" collapsed="false">
      <c r="A229" s="31" t="s">
        <v>274</v>
      </c>
      <c r="B229" s="31" t="s">
        <v>26</v>
      </c>
      <c r="C229" s="31" t="s">
        <v>40</v>
      </c>
      <c r="D229" s="31" t="n">
        <v>2015</v>
      </c>
      <c r="E229" s="31" t="s">
        <v>783</v>
      </c>
      <c r="F229" s="31" t="s">
        <v>784</v>
      </c>
      <c r="G229" s="32"/>
      <c r="H229" s="31" t="n">
        <v>110</v>
      </c>
      <c r="I229" s="32"/>
      <c r="J229" s="31" t="s">
        <v>116</v>
      </c>
      <c r="K229" s="31" t="s">
        <v>107</v>
      </c>
    </row>
    <row r="230" customFormat="false" ht="15" hidden="false" customHeight="false" outlineLevel="0" collapsed="false">
      <c r="A230" s="31" t="s">
        <v>195</v>
      </c>
      <c r="B230" s="31" t="s">
        <v>29</v>
      </c>
      <c r="C230" s="31" t="s">
        <v>62</v>
      </c>
      <c r="D230" s="31" t="n">
        <v>2006</v>
      </c>
      <c r="E230" s="31" t="s">
        <v>785</v>
      </c>
      <c r="F230" s="31" t="s">
        <v>786</v>
      </c>
      <c r="G230" s="31" t="n">
        <v>6.9</v>
      </c>
      <c r="H230" s="32"/>
      <c r="I230" s="31" t="s">
        <v>27</v>
      </c>
      <c r="J230" s="31" t="s">
        <v>121</v>
      </c>
      <c r="K230" s="31" t="s">
        <v>119</v>
      </c>
    </row>
    <row r="231" customFormat="false" ht="15" hidden="false" customHeight="false" outlineLevel="0" collapsed="false">
      <c r="A231" s="31" t="s">
        <v>123</v>
      </c>
      <c r="B231" s="31" t="s">
        <v>23</v>
      </c>
      <c r="C231" s="31" t="s">
        <v>57</v>
      </c>
      <c r="D231" s="31" t="n">
        <v>2000</v>
      </c>
      <c r="E231" s="31" t="s">
        <v>787</v>
      </c>
      <c r="F231" s="31" t="s">
        <v>788</v>
      </c>
      <c r="G231" s="31" t="n">
        <v>6.3</v>
      </c>
      <c r="H231" s="31" t="n">
        <v>102</v>
      </c>
      <c r="I231" s="31" t="s">
        <v>45</v>
      </c>
      <c r="J231" s="31" t="s">
        <v>113</v>
      </c>
      <c r="K231" s="31" t="s">
        <v>107</v>
      </c>
    </row>
    <row r="232" customFormat="false" ht="15" hidden="false" customHeight="false" outlineLevel="0" collapsed="false">
      <c r="A232" s="31" t="s">
        <v>239</v>
      </c>
      <c r="B232" s="31" t="s">
        <v>35</v>
      </c>
      <c r="C232" s="31" t="s">
        <v>76</v>
      </c>
      <c r="D232" s="31" t="n">
        <v>2011</v>
      </c>
      <c r="E232" s="31" t="s">
        <v>789</v>
      </c>
      <c r="F232" s="31" t="s">
        <v>790</v>
      </c>
      <c r="G232" s="32"/>
      <c r="H232" s="31" t="n">
        <v>82</v>
      </c>
      <c r="I232" s="32"/>
      <c r="J232" s="31" t="s">
        <v>113</v>
      </c>
      <c r="K232" s="31" t="s">
        <v>184</v>
      </c>
    </row>
    <row r="233" customFormat="false" ht="15" hidden="false" customHeight="false" outlineLevel="0" collapsed="false">
      <c r="A233" s="31" t="s">
        <v>166</v>
      </c>
      <c r="B233" s="31" t="s">
        <v>32</v>
      </c>
      <c r="C233" s="31" t="s">
        <v>54</v>
      </c>
      <c r="D233" s="31" t="n">
        <v>2004</v>
      </c>
      <c r="E233" s="31" t="s">
        <v>791</v>
      </c>
      <c r="F233" s="31" t="s">
        <v>792</v>
      </c>
      <c r="G233" s="31" t="n">
        <v>6.5</v>
      </c>
      <c r="H233" s="31" t="n">
        <v>145</v>
      </c>
      <c r="I233" s="31" t="s">
        <v>30</v>
      </c>
      <c r="J233" s="31" t="s">
        <v>106</v>
      </c>
      <c r="K233" s="31" t="s">
        <v>136</v>
      </c>
    </row>
    <row r="234" customFormat="false" ht="15" hidden="false" customHeight="false" outlineLevel="0" collapsed="false">
      <c r="A234" s="31" t="s">
        <v>190</v>
      </c>
      <c r="B234" s="31" t="s">
        <v>47</v>
      </c>
      <c r="C234" s="31" t="s">
        <v>46</v>
      </c>
      <c r="D234" s="31" t="n">
        <v>2005</v>
      </c>
      <c r="E234" s="31" t="s">
        <v>793</v>
      </c>
      <c r="F234" s="31" t="s">
        <v>794</v>
      </c>
      <c r="G234" s="31" t="n">
        <v>5.8</v>
      </c>
      <c r="H234" s="31" t="n">
        <v>112</v>
      </c>
      <c r="I234" s="31" t="s">
        <v>36</v>
      </c>
      <c r="J234" s="31" t="s">
        <v>170</v>
      </c>
      <c r="K234" s="31" t="s">
        <v>141</v>
      </c>
    </row>
    <row r="235" customFormat="false" ht="15" hidden="false" customHeight="false" outlineLevel="0" collapsed="false">
      <c r="A235" s="31" t="s">
        <v>222</v>
      </c>
      <c r="B235" s="31" t="s">
        <v>32</v>
      </c>
      <c r="C235" s="31" t="s">
        <v>55</v>
      </c>
      <c r="D235" s="31" t="n">
        <v>2009</v>
      </c>
      <c r="E235" s="31" t="s">
        <v>795</v>
      </c>
      <c r="F235" s="31" t="s">
        <v>796</v>
      </c>
      <c r="G235" s="31" t="n">
        <v>6.5</v>
      </c>
      <c r="H235" s="31" t="n">
        <v>121</v>
      </c>
      <c r="I235" s="31" t="s">
        <v>45</v>
      </c>
      <c r="J235" s="31" t="s">
        <v>113</v>
      </c>
      <c r="K235" s="31" t="s">
        <v>141</v>
      </c>
    </row>
    <row r="236" customFormat="false" ht="15" hidden="false" customHeight="false" outlineLevel="0" collapsed="false">
      <c r="A236" s="31" t="s">
        <v>133</v>
      </c>
      <c r="B236" s="31" t="s">
        <v>44</v>
      </c>
      <c r="C236" s="31" t="s">
        <v>63</v>
      </c>
      <c r="D236" s="31" t="n">
        <v>2002</v>
      </c>
      <c r="E236" s="31" t="s">
        <v>797</v>
      </c>
      <c r="F236" s="31" t="s">
        <v>798</v>
      </c>
      <c r="G236" s="31" t="n">
        <v>6.9</v>
      </c>
      <c r="H236" s="31" t="n">
        <v>97</v>
      </c>
      <c r="I236" s="31" t="s">
        <v>24</v>
      </c>
      <c r="J236" s="32"/>
      <c r="K236" s="31" t="s">
        <v>114</v>
      </c>
    </row>
    <row r="237" customFormat="false" ht="15" hidden="false" customHeight="false" outlineLevel="0" collapsed="false">
      <c r="A237" s="31" t="s">
        <v>271</v>
      </c>
      <c r="B237" s="31" t="s">
        <v>20</v>
      </c>
      <c r="C237" s="31" t="s">
        <v>43</v>
      </c>
      <c r="D237" s="31" t="n">
        <v>2015</v>
      </c>
      <c r="E237" s="31" t="s">
        <v>799</v>
      </c>
      <c r="F237" s="31" t="s">
        <v>800</v>
      </c>
      <c r="G237" s="31" t="n">
        <v>5.6</v>
      </c>
      <c r="H237" s="31" t="n">
        <v>87</v>
      </c>
      <c r="I237" s="31" t="s">
        <v>30</v>
      </c>
      <c r="J237" s="31" t="s">
        <v>154</v>
      </c>
      <c r="K237" s="31" t="s">
        <v>107</v>
      </c>
    </row>
    <row r="238" customFormat="false" ht="15" hidden="false" customHeight="false" outlineLevel="0" collapsed="false">
      <c r="A238" s="31" t="s">
        <v>194</v>
      </c>
      <c r="B238" s="31" t="s">
        <v>32</v>
      </c>
      <c r="C238" s="31" t="s">
        <v>56</v>
      </c>
      <c r="D238" s="31" t="n">
        <v>2006</v>
      </c>
      <c r="E238" s="31" t="s">
        <v>801</v>
      </c>
      <c r="F238" s="31" t="s">
        <v>802</v>
      </c>
      <c r="G238" s="31" t="n">
        <v>6.8</v>
      </c>
      <c r="H238" s="31" t="n">
        <v>161</v>
      </c>
      <c r="I238" s="31" t="s">
        <v>45</v>
      </c>
      <c r="J238" s="31" t="s">
        <v>139</v>
      </c>
      <c r="K238" s="31" t="s">
        <v>109</v>
      </c>
    </row>
    <row r="239" customFormat="false" ht="15" hidden="false" customHeight="false" outlineLevel="0" collapsed="false">
      <c r="A239" s="31" t="s">
        <v>285</v>
      </c>
      <c r="B239" s="31" t="s">
        <v>41</v>
      </c>
      <c r="C239" s="31" t="s">
        <v>68</v>
      </c>
      <c r="D239" s="31" t="n">
        <v>2017</v>
      </c>
      <c r="E239" s="31" t="s">
        <v>803</v>
      </c>
      <c r="F239" s="31" t="s">
        <v>804</v>
      </c>
      <c r="G239" s="31" t="n">
        <v>8.1</v>
      </c>
      <c r="H239" s="31" t="n">
        <v>83</v>
      </c>
      <c r="I239" s="31" t="s">
        <v>42</v>
      </c>
      <c r="J239" s="31" t="s">
        <v>139</v>
      </c>
      <c r="K239" s="31" t="s">
        <v>104</v>
      </c>
    </row>
    <row r="240" customFormat="false" ht="15" hidden="false" customHeight="false" outlineLevel="0" collapsed="false">
      <c r="A240" s="31" t="s">
        <v>805</v>
      </c>
      <c r="B240" s="31" t="s">
        <v>534</v>
      </c>
      <c r="C240" s="31" t="s">
        <v>40</v>
      </c>
      <c r="D240" s="31" t="n">
        <v>2001</v>
      </c>
      <c r="E240" s="31" t="s">
        <v>806</v>
      </c>
      <c r="F240" s="31" t="s">
        <v>807</v>
      </c>
      <c r="G240" s="31" t="n">
        <v>6.1</v>
      </c>
      <c r="H240" s="31" t="n">
        <v>95</v>
      </c>
      <c r="I240" s="31" t="s">
        <v>27</v>
      </c>
      <c r="J240" s="31" t="s">
        <v>125</v>
      </c>
      <c r="K240" s="31" t="s">
        <v>128</v>
      </c>
    </row>
    <row r="241" customFormat="false" ht="15" hidden="false" customHeight="false" outlineLevel="0" collapsed="false">
      <c r="A241" s="31" t="s">
        <v>299</v>
      </c>
      <c r="B241" s="31" t="s">
        <v>35</v>
      </c>
      <c r="C241" s="31" t="s">
        <v>22</v>
      </c>
      <c r="D241" s="31" t="n">
        <v>2019</v>
      </c>
      <c r="E241" s="31" t="s">
        <v>808</v>
      </c>
      <c r="F241" s="31" t="s">
        <v>809</v>
      </c>
      <c r="G241" s="31" t="n">
        <v>7.4</v>
      </c>
      <c r="H241" s="31" t="n">
        <v>121</v>
      </c>
      <c r="I241" s="31" t="s">
        <v>42</v>
      </c>
      <c r="J241" s="31" t="s">
        <v>106</v>
      </c>
      <c r="K241" s="31" t="s">
        <v>128</v>
      </c>
    </row>
    <row r="242" customFormat="false" ht="15" hidden="false" customHeight="false" outlineLevel="0" collapsed="false">
      <c r="A242" s="31" t="s">
        <v>270</v>
      </c>
      <c r="B242" s="31" t="s">
        <v>35</v>
      </c>
      <c r="C242" s="31" t="s">
        <v>62</v>
      </c>
      <c r="D242" s="31" t="n">
        <v>2014</v>
      </c>
      <c r="E242" s="31" t="s">
        <v>810</v>
      </c>
      <c r="F242" s="31" t="s">
        <v>811</v>
      </c>
      <c r="G242" s="31" t="n">
        <v>5.7</v>
      </c>
      <c r="H242" s="32"/>
      <c r="I242" s="31" t="s">
        <v>45</v>
      </c>
      <c r="J242" s="31" t="s">
        <v>144</v>
      </c>
      <c r="K242" s="31" t="s">
        <v>119</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C518"/>
    <pageSetUpPr fitToPage="false"/>
  </sheetPr>
  <dimension ref="A1:G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70"/>
    <col collapsed="false" customWidth="true" hidden="false" outlineLevel="0" max="7" min="4" style="1" width="3"/>
  </cols>
  <sheetData>
    <row r="1" customFormat="false" ht="15" hidden="false" customHeight="false" outlineLevel="0" collapsed="false">
      <c r="A1" s="2"/>
      <c r="B1" s="2"/>
      <c r="C1" s="2"/>
      <c r="D1" s="2"/>
      <c r="E1" s="2"/>
      <c r="F1" s="2"/>
      <c r="G1" s="2"/>
    </row>
    <row r="2" customFormat="false" ht="29.15" hidden="false" customHeight="false" outlineLevel="0" collapsed="false">
      <c r="A2" s="2"/>
      <c r="B2" s="33" t="s">
        <v>812</v>
      </c>
      <c r="C2" s="2"/>
      <c r="D2" s="2"/>
      <c r="E2" s="2"/>
      <c r="F2" s="2"/>
      <c r="G2" s="2"/>
    </row>
    <row r="3" customFormat="false" ht="15" hidden="false" customHeight="false" outlineLevel="0" collapsed="false">
      <c r="A3" s="2"/>
      <c r="B3" s="34" t="s">
        <v>813</v>
      </c>
      <c r="C3" s="2"/>
      <c r="D3" s="2"/>
      <c r="E3" s="2"/>
      <c r="F3" s="2"/>
      <c r="G3" s="2"/>
    </row>
    <row r="4" customFormat="false" ht="15" hidden="false" customHeight="false" outlineLevel="0" collapsed="false">
      <c r="A4" s="2"/>
      <c r="B4" s="2"/>
      <c r="C4" s="2"/>
      <c r="D4" s="2"/>
      <c r="E4" s="2"/>
      <c r="F4" s="2"/>
      <c r="G4" s="2"/>
    </row>
    <row r="5" customFormat="false" ht="16.15" hidden="false" customHeight="false" outlineLevel="0" collapsed="false">
      <c r="A5" s="2"/>
      <c r="B5" s="35" t="s">
        <v>814</v>
      </c>
      <c r="C5" s="2"/>
      <c r="D5" s="2"/>
      <c r="E5" s="2"/>
      <c r="F5" s="2"/>
      <c r="G5" s="2"/>
    </row>
    <row r="6" customFormat="false" ht="55.5" hidden="false" customHeight="true" outlineLevel="0" collapsed="false">
      <c r="A6" s="2"/>
      <c r="B6" s="36" t="s">
        <v>815</v>
      </c>
      <c r="C6" s="37" t="s">
        <v>816</v>
      </c>
      <c r="D6" s="2"/>
      <c r="E6" s="2"/>
      <c r="F6" s="2"/>
      <c r="G6" s="2"/>
    </row>
    <row r="7" customFormat="false" ht="84" hidden="false" customHeight="true" outlineLevel="0" collapsed="false">
      <c r="A7" s="2"/>
      <c r="B7" s="36" t="s">
        <v>817</v>
      </c>
      <c r="C7" s="37" t="s">
        <v>818</v>
      </c>
      <c r="D7" s="2"/>
      <c r="E7" s="2"/>
      <c r="F7" s="2"/>
      <c r="G7" s="2"/>
    </row>
    <row r="8" customFormat="false" ht="15" hidden="false" customHeight="false" outlineLevel="0" collapsed="false">
      <c r="A8" s="2"/>
      <c r="B8" s="2"/>
      <c r="C8" s="2"/>
      <c r="D8" s="2"/>
      <c r="E8" s="2"/>
      <c r="F8" s="2"/>
      <c r="G8" s="2"/>
    </row>
    <row r="9" customFormat="false" ht="16.15" hidden="false" customHeight="false" outlineLevel="0" collapsed="false">
      <c r="A9" s="2"/>
      <c r="B9" s="35" t="s">
        <v>819</v>
      </c>
      <c r="C9" s="2"/>
      <c r="D9" s="2"/>
      <c r="E9" s="2"/>
      <c r="F9" s="2"/>
      <c r="G9" s="2"/>
    </row>
    <row r="10" customFormat="false" ht="27.75" hidden="false" customHeight="true" outlineLevel="0" collapsed="false">
      <c r="A10" s="2"/>
      <c r="B10" s="36" t="s">
        <v>820</v>
      </c>
      <c r="C10" s="37" t="s">
        <v>821</v>
      </c>
      <c r="D10" s="2"/>
      <c r="E10" s="2"/>
      <c r="F10" s="2"/>
      <c r="G10" s="2"/>
    </row>
    <row r="11" customFormat="false" ht="27.75" hidden="false" customHeight="true" outlineLevel="0" collapsed="false">
      <c r="A11" s="2"/>
      <c r="B11" s="36" t="s">
        <v>822</v>
      </c>
      <c r="C11" s="37" t="s">
        <v>823</v>
      </c>
      <c r="D11" s="2"/>
      <c r="E11" s="2"/>
      <c r="F11" s="2"/>
      <c r="G11" s="2"/>
    </row>
    <row r="12" customFormat="false" ht="42" hidden="false" customHeight="true" outlineLevel="0" collapsed="false">
      <c r="A12" s="2"/>
      <c r="B12" s="36" t="s">
        <v>824</v>
      </c>
      <c r="C12" s="37" t="s">
        <v>825</v>
      </c>
      <c r="D12" s="2"/>
      <c r="E12" s="2"/>
      <c r="F12" s="2"/>
      <c r="G12" s="2"/>
    </row>
    <row r="13" customFormat="false" ht="42" hidden="false" customHeight="true" outlineLevel="0" collapsed="false">
      <c r="A13" s="2"/>
      <c r="B13" s="36" t="s">
        <v>826</v>
      </c>
      <c r="C13" s="37" t="s">
        <v>827</v>
      </c>
      <c r="D13" s="2"/>
      <c r="E13" s="2"/>
      <c r="F13" s="2"/>
      <c r="G13" s="2"/>
    </row>
    <row r="14" customFormat="false" ht="15" hidden="false" customHeight="false" outlineLevel="0" collapsed="false">
      <c r="A14" s="2"/>
      <c r="B14" s="2"/>
      <c r="C14" s="2"/>
      <c r="D14" s="2"/>
      <c r="E14" s="2"/>
      <c r="F14" s="2"/>
      <c r="G14" s="2"/>
    </row>
    <row r="15" customFormat="false" ht="16.15" hidden="false" customHeight="false" outlineLevel="0" collapsed="false">
      <c r="A15" s="2"/>
      <c r="B15" s="35" t="s">
        <v>828</v>
      </c>
      <c r="C15" s="2"/>
      <c r="D15" s="2"/>
      <c r="E15" s="2"/>
      <c r="F15" s="2"/>
      <c r="G15" s="2"/>
    </row>
    <row r="16" customFormat="false" ht="27.75" hidden="false" customHeight="true" outlineLevel="0" collapsed="false">
      <c r="A16" s="2"/>
      <c r="B16" s="36" t="s">
        <v>829</v>
      </c>
      <c r="C16" s="37" t="s">
        <v>830</v>
      </c>
      <c r="D16" s="2"/>
      <c r="E16" s="2"/>
      <c r="F16" s="2"/>
      <c r="G16" s="2"/>
    </row>
    <row r="17" customFormat="false" ht="69.75" hidden="false" customHeight="true" outlineLevel="0" collapsed="false">
      <c r="A17" s="2"/>
      <c r="B17" s="36" t="s">
        <v>831</v>
      </c>
      <c r="C17" s="37" t="s">
        <v>832</v>
      </c>
      <c r="D17" s="2"/>
      <c r="E17" s="2"/>
      <c r="F17" s="2"/>
      <c r="G17" s="2"/>
    </row>
    <row r="18" customFormat="false" ht="55.5" hidden="false" customHeight="true" outlineLevel="0" collapsed="false">
      <c r="A18" s="2"/>
      <c r="B18" s="36" t="s">
        <v>833</v>
      </c>
      <c r="C18" s="37" t="s">
        <v>834</v>
      </c>
      <c r="D18" s="2"/>
      <c r="E18" s="2"/>
      <c r="F18" s="2"/>
      <c r="G18" s="2"/>
    </row>
    <row r="19" customFormat="false" ht="27.75" hidden="false" customHeight="true" outlineLevel="0" collapsed="false">
      <c r="A19" s="2"/>
      <c r="B19" s="36" t="s">
        <v>835</v>
      </c>
      <c r="C19" s="37" t="s">
        <v>836</v>
      </c>
      <c r="D19" s="2"/>
      <c r="E19" s="2"/>
      <c r="F19" s="2"/>
      <c r="G19" s="2"/>
    </row>
    <row r="20" customFormat="false" ht="15" hidden="false" customHeight="false" outlineLevel="0" collapsed="false">
      <c r="A20" s="2"/>
      <c r="B20" s="2"/>
      <c r="C20" s="2"/>
      <c r="D20" s="2"/>
      <c r="E20" s="2"/>
      <c r="F20" s="2"/>
      <c r="G20" s="2"/>
    </row>
    <row r="21" customFormat="false" ht="16.15" hidden="false" customHeight="false" outlineLevel="0" collapsed="false">
      <c r="A21" s="2"/>
      <c r="B21" s="35" t="s">
        <v>837</v>
      </c>
      <c r="C21" s="2"/>
      <c r="D21" s="2"/>
      <c r="E21" s="2"/>
      <c r="F21" s="2"/>
      <c r="G21" s="2"/>
    </row>
    <row r="22" customFormat="false" ht="84" hidden="false" customHeight="true" outlineLevel="0" collapsed="false">
      <c r="A22" s="2"/>
      <c r="B22" s="36" t="s">
        <v>838</v>
      </c>
      <c r="C22" s="37" t="s">
        <v>839</v>
      </c>
      <c r="D22" s="2"/>
      <c r="E22" s="2"/>
      <c r="F22" s="2"/>
      <c r="G22" s="2"/>
    </row>
    <row r="23" customFormat="false" ht="42" hidden="false" customHeight="true" outlineLevel="0" collapsed="false">
      <c r="A23" s="2"/>
      <c r="B23" s="36" t="s">
        <v>840</v>
      </c>
      <c r="C23" s="37" t="s">
        <v>841</v>
      </c>
      <c r="D23" s="2"/>
      <c r="E23" s="2"/>
      <c r="F23" s="2"/>
      <c r="G23" s="2"/>
    </row>
    <row r="24" customFormat="false" ht="69.75" hidden="false" customHeight="true" outlineLevel="0" collapsed="false">
      <c r="A24" s="2"/>
      <c r="B24" s="36" t="s">
        <v>842</v>
      </c>
      <c r="C24" s="37" t="s">
        <v>843</v>
      </c>
      <c r="D24" s="2"/>
      <c r="E24" s="2"/>
      <c r="F24" s="2"/>
      <c r="G24" s="2"/>
    </row>
    <row r="25" customFormat="false" ht="84" hidden="false" customHeight="true" outlineLevel="0" collapsed="false">
      <c r="A25" s="2"/>
      <c r="B25" s="36" t="s">
        <v>844</v>
      </c>
      <c r="C25" s="37" t="s">
        <v>845</v>
      </c>
      <c r="D25" s="2"/>
      <c r="E25" s="2"/>
      <c r="F25" s="2"/>
      <c r="G25" s="2"/>
    </row>
    <row r="26" customFormat="false" ht="84" hidden="false" customHeight="true" outlineLevel="0" collapsed="false">
      <c r="A26" s="2"/>
      <c r="B26" s="36" t="s">
        <v>846</v>
      </c>
      <c r="C26" s="37" t="s">
        <v>847</v>
      </c>
      <c r="D26" s="2"/>
      <c r="E26" s="2"/>
      <c r="F26" s="2"/>
      <c r="G26" s="2"/>
    </row>
    <row r="27" customFormat="false" ht="15" hidden="false" customHeight="false" outlineLevel="0" collapsed="false">
      <c r="A27" s="2"/>
      <c r="B27" s="2"/>
      <c r="C27" s="2"/>
      <c r="D27" s="2"/>
      <c r="E27" s="2"/>
      <c r="F27" s="2"/>
      <c r="G27" s="2"/>
    </row>
    <row r="28" customFormat="false" ht="15" hidden="false" customHeight="false" outlineLevel="0" collapsed="false">
      <c r="A28" s="2"/>
      <c r="B28" s="2"/>
      <c r="C28" s="2"/>
      <c r="D28" s="2"/>
      <c r="E28" s="2"/>
      <c r="F28" s="2"/>
      <c r="G28" s="2"/>
    </row>
    <row r="29" customFormat="false" ht="15" hidden="false" customHeight="false" outlineLevel="0" collapsed="false">
      <c r="A29" s="2"/>
      <c r="B29" s="2"/>
      <c r="C29" s="2"/>
      <c r="D29" s="2"/>
      <c r="E29" s="2"/>
      <c r="F29" s="2"/>
      <c r="G29" s="2"/>
    </row>
    <row r="30" customFormat="false" ht="15" hidden="false" customHeight="false" outlineLevel="0" collapsed="false">
      <c r="A30" s="2"/>
      <c r="B30" s="2"/>
      <c r="C30" s="2"/>
      <c r="D30" s="2"/>
      <c r="E30" s="2"/>
      <c r="F30" s="2"/>
      <c r="G30" s="2"/>
    </row>
    <row r="31" customFormat="false" ht="15" hidden="false" customHeight="false" outlineLevel="0" collapsed="false">
      <c r="A31" s="2"/>
      <c r="B31" s="2"/>
      <c r="C31" s="2"/>
      <c r="D31" s="2"/>
      <c r="E31" s="2"/>
      <c r="F31" s="2"/>
      <c r="G31" s="2"/>
    </row>
    <row r="32" customFormat="false" ht="15" hidden="false" customHeight="false" outlineLevel="0" collapsed="false">
      <c r="A32" s="2"/>
      <c r="B32" s="2"/>
      <c r="C32" s="2"/>
      <c r="D32" s="2"/>
      <c r="E32" s="2"/>
      <c r="F32" s="2"/>
      <c r="G32" s="2"/>
    </row>
    <row r="33" customFormat="false" ht="15" hidden="false" customHeight="false" outlineLevel="0" collapsed="false">
      <c r="A33" s="2"/>
      <c r="B33" s="2"/>
      <c r="C33" s="2"/>
      <c r="D33" s="2"/>
      <c r="E33" s="2"/>
      <c r="F33" s="2"/>
      <c r="G33" s="2"/>
    </row>
    <row r="34" customFormat="false" ht="15" hidden="false" customHeight="false" outlineLevel="0" collapsed="false">
      <c r="A34" s="2"/>
      <c r="B34" s="2"/>
      <c r="C34" s="2"/>
      <c r="D34" s="2"/>
      <c r="E34" s="2"/>
      <c r="F34" s="2"/>
      <c r="G34" s="2"/>
    </row>
    <row r="35" customFormat="false" ht="15" hidden="false" customHeight="false" outlineLevel="0" collapsed="false">
      <c r="A35" s="2"/>
      <c r="B35" s="2"/>
      <c r="C35" s="2"/>
      <c r="D35" s="2"/>
      <c r="E35" s="2"/>
      <c r="F35" s="2"/>
      <c r="G35" s="2"/>
    </row>
    <row r="36" customFormat="false" ht="15" hidden="false" customHeight="false" outlineLevel="0" collapsed="false">
      <c r="A36" s="2"/>
      <c r="B36" s="2"/>
      <c r="C36" s="2"/>
      <c r="D36" s="2"/>
      <c r="E36" s="2"/>
      <c r="F36" s="2"/>
      <c r="G36" s="2"/>
    </row>
    <row r="37" customFormat="false" ht="15" hidden="false" customHeight="false" outlineLevel="0" collapsed="false">
      <c r="A37" s="2"/>
      <c r="B37" s="2"/>
      <c r="C37" s="2"/>
      <c r="D37" s="2"/>
      <c r="E37" s="2"/>
      <c r="F37" s="2"/>
      <c r="G37" s="2"/>
    </row>
    <row r="38" customFormat="false" ht="15" hidden="false" customHeight="false" outlineLevel="0" collapsed="false">
      <c r="A38" s="2"/>
      <c r="B38" s="2"/>
      <c r="C38" s="2"/>
      <c r="D38" s="2"/>
      <c r="E38" s="2"/>
      <c r="F38" s="2"/>
      <c r="G38" s="2"/>
    </row>
    <row r="39" customFormat="false" ht="15" hidden="false" customHeight="false" outlineLevel="0" collapsed="false">
      <c r="A39" s="2"/>
      <c r="B39" s="2"/>
      <c r="C39" s="2"/>
      <c r="D39" s="2"/>
      <c r="E39" s="2"/>
      <c r="F39" s="2"/>
      <c r="G39" s="2"/>
    </row>
    <row r="40" customFormat="false" ht="15" hidden="false" customHeight="false" outlineLevel="0" collapsed="false">
      <c r="A40" s="2"/>
      <c r="B40" s="2"/>
      <c r="C40" s="2"/>
      <c r="D40" s="2"/>
      <c r="E40" s="2"/>
      <c r="F40" s="2"/>
      <c r="G40" s="2"/>
    </row>
    <row r="41" customFormat="false" ht="15" hidden="false" customHeight="false" outlineLevel="0" collapsed="false">
      <c r="A41" s="2"/>
      <c r="B41" s="2"/>
      <c r="C41" s="2"/>
      <c r="D41" s="2"/>
      <c r="E41" s="2"/>
      <c r="F41" s="2"/>
      <c r="G41" s="2"/>
    </row>
    <row r="42" customFormat="false" ht="15" hidden="false" customHeight="false" outlineLevel="0" collapsed="false">
      <c r="A42" s="2"/>
      <c r="B42" s="2"/>
      <c r="C42" s="2"/>
      <c r="D42" s="2"/>
      <c r="E42" s="2"/>
      <c r="F42" s="2"/>
      <c r="G42" s="2"/>
    </row>
    <row r="43" customFormat="false" ht="15" hidden="false" customHeight="false" outlineLevel="0" collapsed="false">
      <c r="A43" s="2"/>
      <c r="B43" s="2"/>
      <c r="C43" s="2"/>
      <c r="D43" s="2"/>
      <c r="E43" s="2"/>
      <c r="F43" s="2"/>
      <c r="G43" s="2"/>
    </row>
    <row r="44" customFormat="false" ht="15" hidden="false" customHeight="false" outlineLevel="0" collapsed="false">
      <c r="A44" s="2"/>
      <c r="B44" s="2"/>
      <c r="C44" s="2"/>
      <c r="D44" s="2"/>
      <c r="E44" s="2"/>
      <c r="F44" s="2"/>
      <c r="G44" s="2"/>
    </row>
    <row r="45" customFormat="false" ht="15" hidden="false" customHeight="false" outlineLevel="0" collapsed="false">
      <c r="A45" s="2"/>
      <c r="B45" s="2"/>
      <c r="C45" s="2"/>
      <c r="D45" s="2"/>
      <c r="E45" s="2"/>
      <c r="F45" s="2"/>
      <c r="G45" s="2"/>
    </row>
    <row r="46" customFormat="false" ht="15" hidden="false" customHeight="false" outlineLevel="0" collapsed="false">
      <c r="A46" s="2"/>
      <c r="B46" s="2"/>
      <c r="C46" s="2"/>
      <c r="D46" s="2"/>
      <c r="E46" s="2"/>
      <c r="F46" s="2"/>
      <c r="G46" s="2"/>
    </row>
    <row r="47" customFormat="false" ht="15" hidden="false" customHeight="false" outlineLevel="0" collapsed="false">
      <c r="A47" s="2"/>
      <c r="B47" s="2"/>
      <c r="C47" s="2"/>
      <c r="D47" s="2"/>
      <c r="E47" s="2"/>
      <c r="F47" s="2"/>
      <c r="G47" s="2"/>
    </row>
    <row r="48" customFormat="false" ht="15" hidden="false" customHeight="false" outlineLevel="0" collapsed="false">
      <c r="A48" s="2"/>
      <c r="B48" s="2"/>
      <c r="C48" s="2"/>
      <c r="D48" s="2"/>
      <c r="E48" s="2"/>
      <c r="F48" s="2"/>
      <c r="G48" s="2"/>
    </row>
    <row r="49" customFormat="false" ht="15" hidden="false" customHeight="false" outlineLevel="0" collapsed="false">
      <c r="A49" s="2"/>
      <c r="B49" s="2"/>
      <c r="C49" s="2"/>
      <c r="D49" s="2"/>
      <c r="E49" s="2"/>
      <c r="F49" s="2"/>
      <c r="G49" s="2"/>
    </row>
    <row r="50" customFormat="false" ht="15" hidden="false" customHeight="false" outlineLevel="0" collapsed="false">
      <c r="A50" s="2"/>
      <c r="B50" s="2"/>
      <c r="C50" s="2"/>
      <c r="D50" s="2"/>
      <c r="E50" s="2"/>
      <c r="F50" s="2"/>
      <c r="G50" s="2"/>
    </row>
    <row r="51" customFormat="false" ht="15" hidden="false" customHeight="false" outlineLevel="0" collapsed="false">
      <c r="A51" s="2"/>
      <c r="B51" s="2"/>
      <c r="C51" s="2"/>
      <c r="D51" s="2"/>
      <c r="E51" s="2"/>
      <c r="F51" s="2"/>
      <c r="G51" s="2"/>
    </row>
    <row r="52" customFormat="false" ht="15" hidden="false" customHeight="false" outlineLevel="0" collapsed="false">
      <c r="A52" s="2"/>
      <c r="B52" s="2"/>
      <c r="C52" s="2"/>
      <c r="D52" s="2"/>
      <c r="E52" s="2"/>
      <c r="F52" s="2"/>
      <c r="G52" s="2"/>
    </row>
    <row r="53" customFormat="false" ht="15" hidden="false" customHeight="false" outlineLevel="0" collapsed="false">
      <c r="A53" s="2"/>
      <c r="B53" s="2"/>
      <c r="C53" s="2"/>
      <c r="D53" s="2"/>
      <c r="E53" s="2"/>
      <c r="F53" s="2"/>
      <c r="G53" s="2"/>
    </row>
    <row r="54" customFormat="false" ht="15" hidden="false" customHeight="false" outlineLevel="0" collapsed="false">
      <c r="A54" s="2"/>
      <c r="B54" s="2"/>
      <c r="C54" s="2"/>
      <c r="D54" s="2"/>
      <c r="E54" s="2"/>
      <c r="F54" s="2"/>
      <c r="G54" s="2"/>
    </row>
    <row r="55" customFormat="false" ht="15" hidden="false" customHeight="false" outlineLevel="0" collapsed="false">
      <c r="A55" s="2"/>
      <c r="B55" s="2"/>
      <c r="C55" s="2"/>
      <c r="D55" s="2"/>
      <c r="E55" s="2"/>
      <c r="F55" s="2"/>
      <c r="G55" s="2"/>
    </row>
    <row r="56" customFormat="false" ht="15" hidden="false" customHeight="false" outlineLevel="0" collapsed="false">
      <c r="A56" s="2"/>
      <c r="B56" s="2"/>
      <c r="C56" s="2"/>
      <c r="D56" s="2"/>
      <c r="E56" s="2"/>
      <c r="F56" s="2"/>
      <c r="G56" s="2"/>
    </row>
    <row r="57" customFormat="false" ht="15" hidden="false" customHeight="false" outlineLevel="0" collapsed="false">
      <c r="A57" s="2"/>
      <c r="B57" s="2"/>
      <c r="C57" s="2"/>
      <c r="D57" s="2"/>
      <c r="E57" s="2"/>
      <c r="F57" s="2"/>
      <c r="G57" s="2"/>
    </row>
    <row r="58" customFormat="false" ht="15" hidden="false" customHeight="false" outlineLevel="0" collapsed="false">
      <c r="A58" s="2"/>
      <c r="B58" s="2"/>
      <c r="C58" s="2"/>
      <c r="D58" s="2"/>
      <c r="E58" s="2"/>
      <c r="F58" s="2"/>
      <c r="G58" s="2"/>
    </row>
    <row r="59" customFormat="false" ht="15" hidden="false" customHeight="false" outlineLevel="0" collapsed="false">
      <c r="A59" s="2"/>
      <c r="B59" s="2"/>
      <c r="C59" s="2"/>
      <c r="D59" s="2"/>
      <c r="E59" s="2"/>
      <c r="F59" s="2"/>
      <c r="G59"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2026-08-11T06:20:35Z</dcterms:created>
  <dc:creator>Claude</dc:creator>
  <dc:description/>
  <dc:language>en-US</dc:language>
  <cp:lastModifiedBy/>
  <dcterms:modified xsi:type="dcterms:W3CDTF">2026-08-11T06:21:18Z</dcterms:modified>
  <cp:revision>2</cp:revision>
  <dc:subject/>
  <dc:title>Movie Box Office Analytics</dc:title>
</cp:coreProperties>
</file>

<file path=docProps/custom.xml><?xml version="1.0" encoding="utf-8"?>
<Properties xmlns="http://schemas.openxmlformats.org/officeDocument/2006/custom-properties" xmlns:vt="http://schemas.openxmlformats.org/officeDocument/2006/docPropsVTypes"/>
</file>